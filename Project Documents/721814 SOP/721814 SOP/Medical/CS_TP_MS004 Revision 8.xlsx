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codeName="ThisWorkbook" hidePivotFieldList="1"/>
  <mc:AlternateContent xmlns:mc="http://schemas.openxmlformats.org/markup-compatibility/2006">
    <mc:Choice Requires="x15">
      <x15ac:absPath xmlns:x15ac="http://schemas.microsoft.com/office/spreadsheetml/2010/11/ac" url="C:\Users\u1102190\AppData\Roaming\OpenText\OTEdit\elvis_quintiles_com-livelink\c277930580\"/>
    </mc:Choice>
  </mc:AlternateContent>
  <xr:revisionPtr revIDLastSave="0" documentId="13_ncr:1_{727F7FDE-1671-4054-BF77-494768B73DDE}" xr6:coauthVersionLast="47" xr6:coauthVersionMax="47" xr10:uidLastSave="{00000000-0000-0000-0000-000000000000}"/>
  <bookViews>
    <workbookView xWindow="-110" yWindow="-110" windowWidth="19420" windowHeight="10420" activeTab="4" xr2:uid="{00000000-000D-0000-FFFF-FFFF00000000}"/>
  </bookViews>
  <sheets>
    <sheet name="Instruction " sheetId="11" r:id="rId1"/>
    <sheet name="Summary" sheetId="8" r:id="rId2"/>
    <sheet name="Lab &amp; ECG Contact Report" sheetId="24" r:id="rId3"/>
    <sheet name="Eligibility Review Tracker" sheetId="23" r:id="rId4"/>
    <sheet name="Acronym List" sheetId="17" r:id="rId5"/>
  </sheets>
  <definedNames>
    <definedName name="_xlnm._FilterDatabase" localSheetId="2" hidden="1">'Lab &amp; ECG Contact Report'!$A$5:$BG$5</definedName>
    <definedName name="_xlnm._FilterDatabase" localSheetId="1" hidden="1">Summary!$A$7:$B$15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8" l="1"/>
  <c r="E16" i="8" s="1"/>
  <c r="E5" i="8"/>
  <c r="E10" i="8"/>
  <c r="E14" i="8"/>
  <c r="E13" i="8"/>
  <c r="E9" i="8"/>
  <c r="E8" i="8"/>
  <c r="E3" i="8"/>
  <c r="E4" i="8"/>
  <c r="E2" i="8"/>
  <c r="W7" i="24"/>
  <c r="W8" i="24"/>
  <c r="W9" i="24"/>
  <c r="W10" i="24"/>
  <c r="W11" i="24"/>
  <c r="W12" i="24"/>
  <c r="W13" i="24"/>
  <c r="W14" i="24"/>
  <c r="W15" i="24"/>
  <c r="W16" i="24"/>
  <c r="W17" i="24"/>
  <c r="W18" i="24"/>
  <c r="W19" i="24"/>
  <c r="W20" i="24"/>
  <c r="W21" i="24"/>
  <c r="W22" i="24"/>
  <c r="W23" i="24"/>
  <c r="W24" i="24"/>
  <c r="W25" i="24"/>
  <c r="W26" i="24"/>
  <c r="W27" i="24"/>
  <c r="W28" i="24"/>
  <c r="W29" i="24"/>
  <c r="W30" i="24"/>
  <c r="W31" i="24"/>
  <c r="W32" i="24"/>
  <c r="W33" i="24"/>
  <c r="W34" i="24"/>
  <c r="W35" i="24"/>
  <c r="W36" i="24"/>
  <c r="W37" i="24"/>
  <c r="W38" i="24"/>
  <c r="W39" i="24"/>
  <c r="W40" i="24"/>
  <c r="W41" i="24"/>
  <c r="W42" i="24"/>
  <c r="W43" i="24"/>
  <c r="W44" i="24"/>
  <c r="W45" i="24"/>
  <c r="W46" i="24"/>
  <c r="W47" i="24"/>
  <c r="W48" i="24"/>
  <c r="W49" i="24"/>
  <c r="W50" i="24"/>
  <c r="W51" i="24"/>
  <c r="W52" i="24"/>
  <c r="W53" i="24"/>
  <c r="W54" i="24"/>
  <c r="W55" i="24"/>
  <c r="W56" i="24"/>
  <c r="W57" i="24"/>
  <c r="W58" i="24"/>
  <c r="W59" i="24"/>
  <c r="W60" i="24"/>
  <c r="W61" i="24"/>
  <c r="W62" i="24"/>
  <c r="W63" i="24"/>
  <c r="W64" i="24"/>
  <c r="W65" i="24"/>
  <c r="W66" i="24"/>
  <c r="W67" i="24"/>
  <c r="W68" i="24"/>
  <c r="W69" i="24"/>
  <c r="W70" i="24"/>
  <c r="W71" i="24"/>
  <c r="W72" i="24"/>
  <c r="W73" i="24"/>
  <c r="W74" i="24"/>
  <c r="W75" i="24"/>
  <c r="W76" i="24"/>
  <c r="W77" i="24"/>
  <c r="W78" i="24"/>
  <c r="W79" i="24"/>
  <c r="W80" i="24"/>
  <c r="W81" i="24"/>
  <c r="W82" i="24"/>
  <c r="W83" i="24"/>
  <c r="W84" i="24"/>
  <c r="W85" i="24"/>
  <c r="W86" i="24"/>
  <c r="W87" i="24"/>
  <c r="W88" i="24"/>
  <c r="W89" i="24"/>
  <c r="W90" i="24"/>
  <c r="W91" i="24"/>
  <c r="W92" i="24"/>
  <c r="W93" i="24"/>
  <c r="W94" i="24"/>
  <c r="W95" i="24"/>
  <c r="W96" i="24"/>
  <c r="W97" i="24"/>
  <c r="W98" i="24"/>
  <c r="W99" i="24"/>
  <c r="W100" i="24"/>
  <c r="W101" i="24"/>
  <c r="W102" i="24"/>
  <c r="W103" i="24"/>
  <c r="W104" i="24"/>
  <c r="W105" i="24"/>
  <c r="W106" i="24"/>
  <c r="W107" i="24"/>
  <c r="W108" i="24"/>
  <c r="W109" i="24"/>
  <c r="W110" i="24"/>
  <c r="W111" i="24"/>
  <c r="W112" i="24"/>
  <c r="W113" i="24"/>
  <c r="W114" i="24"/>
  <c r="W115" i="24"/>
  <c r="W116" i="24"/>
  <c r="W117" i="24"/>
  <c r="W118" i="24"/>
  <c r="W119" i="24"/>
  <c r="W120" i="24"/>
  <c r="W121" i="24"/>
  <c r="W122" i="24"/>
  <c r="W123" i="24"/>
  <c r="W124" i="24"/>
  <c r="W125" i="24"/>
  <c r="W126" i="24"/>
  <c r="W127" i="24"/>
  <c r="W128" i="24"/>
  <c r="W129" i="24"/>
  <c r="W130" i="24"/>
  <c r="W131" i="24"/>
  <c r="W132" i="24"/>
  <c r="W133" i="24"/>
  <c r="W134" i="24"/>
  <c r="W135" i="24"/>
  <c r="W136" i="24"/>
  <c r="W137" i="24"/>
  <c r="W138" i="24"/>
  <c r="W139" i="24"/>
  <c r="W140" i="24"/>
  <c r="W141" i="24"/>
  <c r="W142" i="24"/>
  <c r="W143" i="24"/>
  <c r="W144" i="24"/>
  <c r="W145" i="24"/>
  <c r="W146" i="24"/>
  <c r="W147" i="24"/>
  <c r="W148" i="24"/>
  <c r="W149" i="24"/>
  <c r="W150" i="24"/>
  <c r="W151" i="24"/>
  <c r="W152" i="24"/>
  <c r="W153" i="24"/>
  <c r="W154" i="24"/>
  <c r="W155" i="24"/>
  <c r="W156" i="24"/>
  <c r="W157" i="24"/>
  <c r="W158" i="24"/>
  <c r="W159" i="24"/>
  <c r="W160" i="24"/>
  <c r="W161" i="24"/>
  <c r="W162" i="24"/>
  <c r="W163" i="24"/>
  <c r="W164" i="24"/>
  <c r="W165" i="24"/>
  <c r="W166" i="24"/>
  <c r="W167" i="24"/>
  <c r="W168" i="24"/>
  <c r="W169" i="24"/>
  <c r="W170" i="24"/>
  <c r="W171" i="24"/>
  <c r="W172" i="24"/>
  <c r="W173" i="24"/>
  <c r="W174" i="24"/>
  <c r="W175" i="24"/>
  <c r="W176" i="24"/>
  <c r="W177" i="24"/>
  <c r="W178" i="24"/>
  <c r="W179" i="24"/>
  <c r="W180" i="24"/>
  <c r="W181" i="24"/>
  <c r="W182" i="24"/>
  <c r="W183" i="24"/>
  <c r="W184" i="24"/>
  <c r="W185" i="24"/>
  <c r="W186" i="24"/>
  <c r="W187" i="24"/>
  <c r="W188" i="24"/>
  <c r="W189" i="24"/>
  <c r="W190" i="24"/>
  <c r="W191" i="24"/>
  <c r="W192" i="24"/>
  <c r="W193" i="24"/>
  <c r="W194" i="24"/>
  <c r="W195" i="24"/>
  <c r="W196" i="24"/>
  <c r="W197" i="24"/>
  <c r="W198" i="24"/>
  <c r="W199" i="24"/>
  <c r="W200" i="24"/>
  <c r="W201" i="24"/>
  <c r="W202" i="24"/>
  <c r="W203" i="24"/>
  <c r="W204" i="24"/>
  <c r="W205" i="24"/>
  <c r="W206" i="24"/>
  <c r="W207" i="24"/>
  <c r="W208" i="24"/>
  <c r="W209" i="24"/>
  <c r="W210" i="24"/>
  <c r="W211" i="24"/>
  <c r="W212" i="24"/>
  <c r="W213" i="24"/>
  <c r="W214" i="24"/>
  <c r="W215" i="24"/>
  <c r="W216" i="24"/>
  <c r="W217" i="24"/>
  <c r="W218" i="24"/>
  <c r="W219" i="24"/>
  <c r="W220" i="24"/>
  <c r="W221" i="24"/>
  <c r="W222" i="24"/>
  <c r="W223" i="24"/>
  <c r="W224" i="24"/>
  <c r="W225" i="24"/>
  <c r="W226" i="24"/>
  <c r="W227" i="24"/>
  <c r="W228" i="24"/>
  <c r="W229" i="24"/>
  <c r="W230" i="24"/>
  <c r="W231" i="24"/>
  <c r="W232" i="24"/>
  <c r="W233" i="24"/>
  <c r="W234" i="24"/>
  <c r="W235" i="24"/>
  <c r="W236" i="24"/>
  <c r="W237" i="24"/>
  <c r="W238" i="24"/>
  <c r="W239" i="24"/>
  <c r="W240" i="24"/>
  <c r="W241" i="24"/>
  <c r="W242" i="24"/>
  <c r="W243" i="24"/>
  <c r="W244" i="24"/>
  <c r="W245" i="24"/>
  <c r="W246" i="24"/>
  <c r="W247" i="24"/>
  <c r="W248" i="24"/>
  <c r="W249" i="24"/>
  <c r="W250" i="24"/>
  <c r="W251" i="24"/>
  <c r="W252" i="24"/>
  <c r="W253" i="24"/>
  <c r="W254" i="24"/>
  <c r="W255" i="24"/>
  <c r="W256" i="24"/>
  <c r="W257" i="24"/>
  <c r="W258" i="24"/>
  <c r="W259" i="24"/>
  <c r="W260" i="24"/>
  <c r="W261" i="24"/>
  <c r="W262" i="24"/>
  <c r="W263" i="24"/>
  <c r="W264" i="24"/>
  <c r="W265" i="24"/>
  <c r="W266" i="24"/>
  <c r="W267" i="24"/>
  <c r="W268" i="24"/>
  <c r="W269" i="24"/>
  <c r="W270" i="24"/>
  <c r="W271" i="24"/>
  <c r="W272" i="24"/>
  <c r="W273" i="24"/>
  <c r="W274" i="24"/>
  <c r="W275" i="24"/>
  <c r="W276" i="24"/>
  <c r="W277" i="24"/>
  <c r="W278" i="24"/>
  <c r="W279" i="24"/>
  <c r="W280" i="24"/>
  <c r="W281" i="24"/>
  <c r="W282" i="24"/>
  <c r="W283" i="24"/>
  <c r="W284" i="24"/>
  <c r="W285" i="24"/>
  <c r="W286" i="24"/>
  <c r="W287" i="24"/>
  <c r="W288" i="24"/>
  <c r="W289" i="24"/>
  <c r="W290" i="24"/>
  <c r="W291" i="24"/>
  <c r="W292" i="24"/>
  <c r="W293" i="24"/>
  <c r="W294" i="24"/>
  <c r="W295" i="24"/>
  <c r="W296" i="24"/>
  <c r="W297" i="24"/>
  <c r="W298" i="24"/>
  <c r="W299" i="24"/>
  <c r="W300" i="24"/>
  <c r="W301" i="24"/>
  <c r="W302" i="24"/>
  <c r="W303" i="24"/>
  <c r="W304" i="24"/>
  <c r="W305" i="24"/>
  <c r="W306" i="24"/>
  <c r="W307" i="24"/>
  <c r="W308" i="24"/>
  <c r="W309" i="24"/>
  <c r="W310" i="24"/>
  <c r="W311" i="24"/>
  <c r="W312" i="24"/>
  <c r="W313" i="24"/>
  <c r="W314" i="24"/>
  <c r="W315" i="24"/>
  <c r="W316" i="24"/>
  <c r="W317" i="24"/>
  <c r="W318" i="24"/>
  <c r="W319" i="24"/>
  <c r="W320" i="24"/>
  <c r="W321" i="24"/>
  <c r="W322" i="24"/>
  <c r="W323" i="24"/>
  <c r="W324" i="24"/>
  <c r="W325" i="24"/>
  <c r="W326" i="24"/>
  <c r="W327" i="24"/>
  <c r="W328" i="24"/>
  <c r="W329" i="24"/>
  <c r="W330" i="24"/>
  <c r="W331" i="24"/>
  <c r="W332" i="24"/>
  <c r="W333" i="24"/>
  <c r="W334" i="24"/>
  <c r="W335" i="24"/>
  <c r="W336" i="24"/>
  <c r="W337" i="24"/>
  <c r="W338" i="24"/>
  <c r="W339" i="24"/>
  <c r="W340" i="24"/>
  <c r="W341" i="24"/>
  <c r="W342" i="24"/>
  <c r="W343" i="24"/>
  <c r="W344" i="24"/>
  <c r="W345" i="24"/>
  <c r="W346" i="24"/>
  <c r="W347" i="24"/>
  <c r="W348" i="24"/>
  <c r="W349" i="24"/>
  <c r="W350" i="24"/>
  <c r="W351" i="24"/>
  <c r="W352" i="24"/>
  <c r="W353" i="24"/>
  <c r="W354" i="24"/>
  <c r="W355" i="24"/>
  <c r="W356" i="24"/>
  <c r="W357" i="24"/>
  <c r="W358" i="24"/>
  <c r="W359" i="24"/>
  <c r="W360" i="24"/>
  <c r="W361" i="24"/>
  <c r="W362" i="24"/>
  <c r="W363" i="24"/>
  <c r="W364" i="24"/>
  <c r="W365" i="24"/>
  <c r="W366" i="24"/>
  <c r="W367" i="24"/>
  <c r="W368" i="24"/>
  <c r="W369" i="24"/>
  <c r="W370" i="24"/>
  <c r="W371" i="24"/>
  <c r="W372" i="24"/>
  <c r="W373" i="24"/>
  <c r="W374" i="24"/>
  <c r="W375" i="24"/>
  <c r="W376" i="24"/>
  <c r="W377" i="24"/>
  <c r="W378" i="24"/>
  <c r="W379" i="24"/>
  <c r="W380" i="24"/>
  <c r="W381" i="24"/>
  <c r="W382" i="24"/>
  <c r="W383" i="24"/>
  <c r="W384" i="24"/>
  <c r="W385" i="24"/>
  <c r="W386" i="24"/>
  <c r="W387" i="24"/>
  <c r="W388" i="24"/>
  <c r="W389" i="24"/>
  <c r="W390" i="24"/>
  <c r="W391" i="24"/>
  <c r="W392" i="24"/>
  <c r="W393" i="24"/>
  <c r="W394" i="24"/>
  <c r="W395" i="24"/>
  <c r="W396" i="24"/>
  <c r="W397" i="24"/>
  <c r="W398" i="24"/>
  <c r="W399" i="24"/>
  <c r="W400" i="24"/>
  <c r="W401" i="24"/>
  <c r="W402" i="24"/>
  <c r="W403" i="24"/>
  <c r="W404" i="24"/>
  <c r="W405" i="24"/>
  <c r="W406" i="24"/>
  <c r="W407" i="24"/>
  <c r="W408" i="24"/>
  <c r="W409" i="24"/>
  <c r="W410" i="24"/>
  <c r="W411" i="24"/>
  <c r="W412" i="24"/>
  <c r="W413" i="24"/>
  <c r="W414" i="24"/>
  <c r="W415" i="24"/>
  <c r="W416" i="24"/>
  <c r="W417" i="24"/>
  <c r="W418" i="24"/>
  <c r="W419" i="24"/>
  <c r="W420" i="24"/>
  <c r="W421" i="24"/>
  <c r="W422" i="24"/>
  <c r="W423" i="24"/>
  <c r="W424" i="24"/>
  <c r="W425" i="24"/>
  <c r="W426" i="24"/>
  <c r="W427" i="24"/>
  <c r="W428" i="24"/>
  <c r="W429" i="24"/>
  <c r="W430" i="24"/>
  <c r="W431" i="24"/>
  <c r="W432" i="24"/>
  <c r="W433" i="24"/>
  <c r="W434" i="24"/>
  <c r="W435" i="24"/>
  <c r="W436" i="24"/>
  <c r="W437" i="24"/>
  <c r="W438" i="24"/>
  <c r="W439" i="24"/>
  <c r="W440" i="24"/>
  <c r="W441" i="24"/>
  <c r="W442" i="24"/>
  <c r="W443" i="24"/>
  <c r="W444" i="24"/>
  <c r="W445" i="24"/>
  <c r="W446" i="24"/>
  <c r="W447" i="24"/>
  <c r="W448" i="24"/>
  <c r="W449" i="24"/>
  <c r="W450" i="24"/>
  <c r="W451" i="24"/>
  <c r="W452" i="24"/>
  <c r="W453" i="24"/>
  <c r="W454" i="24"/>
  <c r="W455" i="24"/>
  <c r="W456" i="24"/>
  <c r="W457" i="24"/>
  <c r="W458" i="24"/>
  <c r="W459" i="24"/>
  <c r="W460" i="24"/>
  <c r="W461" i="24"/>
  <c r="W462" i="24"/>
  <c r="W463" i="24"/>
  <c r="W464" i="24"/>
  <c r="W465" i="24"/>
  <c r="W466" i="24"/>
  <c r="W467" i="24"/>
  <c r="W468" i="24"/>
  <c r="W469" i="24"/>
  <c r="W470" i="24"/>
  <c r="W471" i="24"/>
  <c r="W472" i="24"/>
  <c r="W473" i="24"/>
  <c r="W474" i="24"/>
  <c r="W475" i="24"/>
  <c r="W476" i="24"/>
  <c r="W477" i="24"/>
  <c r="W478" i="24"/>
  <c r="W479" i="24"/>
  <c r="W480" i="24"/>
  <c r="W481" i="24"/>
  <c r="W482" i="24"/>
  <c r="W483" i="24"/>
  <c r="W484" i="24"/>
  <c r="W485" i="24"/>
  <c r="W486" i="24"/>
  <c r="W487" i="24"/>
  <c r="W488" i="24"/>
  <c r="W489" i="24"/>
  <c r="W490" i="24"/>
  <c r="W491" i="24"/>
  <c r="W492" i="24"/>
  <c r="W493" i="24"/>
  <c r="W494" i="24"/>
  <c r="W495" i="24"/>
  <c r="W496" i="24"/>
  <c r="W497" i="24"/>
  <c r="W498" i="24"/>
  <c r="W499" i="24"/>
  <c r="W500" i="24"/>
  <c r="W501" i="24"/>
  <c r="W6" i="24"/>
  <c r="AI7" i="24"/>
  <c r="AJ7" i="24" s="1"/>
  <c r="AI8" i="24"/>
  <c r="AJ8" i="24" s="1"/>
  <c r="AI9" i="24"/>
  <c r="AJ9" i="24" s="1"/>
  <c r="AI10" i="24"/>
  <c r="AJ10" i="24" s="1"/>
  <c r="AI11" i="24"/>
  <c r="AJ11" i="24" s="1"/>
  <c r="AI12" i="24"/>
  <c r="AJ12" i="24" s="1"/>
  <c r="AI13" i="24"/>
  <c r="AJ13" i="24" s="1"/>
  <c r="AI14" i="24"/>
  <c r="AJ14" i="24" s="1"/>
  <c r="AI15" i="24"/>
  <c r="AJ15" i="24" s="1"/>
  <c r="AI16" i="24"/>
  <c r="AJ16" i="24" s="1"/>
  <c r="AI17" i="24"/>
  <c r="AJ17" i="24" s="1"/>
  <c r="AI18" i="24"/>
  <c r="AJ18" i="24" s="1"/>
  <c r="AI19" i="24"/>
  <c r="AJ19" i="24" s="1"/>
  <c r="AI20" i="24"/>
  <c r="AJ20" i="24" s="1"/>
  <c r="AI21" i="24"/>
  <c r="AJ21" i="24" s="1"/>
  <c r="AI22" i="24"/>
  <c r="AJ22" i="24" s="1"/>
  <c r="AI23" i="24"/>
  <c r="AJ23" i="24" s="1"/>
  <c r="AI24" i="24"/>
  <c r="AJ24" i="24" s="1"/>
  <c r="AI25" i="24"/>
  <c r="AJ25" i="24" s="1"/>
  <c r="AI26" i="24"/>
  <c r="AJ26" i="24" s="1"/>
  <c r="AI27" i="24"/>
  <c r="AJ27" i="24" s="1"/>
  <c r="AI28" i="24"/>
  <c r="AJ28" i="24" s="1"/>
  <c r="AI29" i="24"/>
  <c r="AJ29" i="24" s="1"/>
  <c r="AI30" i="24"/>
  <c r="AJ30" i="24" s="1"/>
  <c r="AI31" i="24"/>
  <c r="AJ31" i="24" s="1"/>
  <c r="AI32" i="24"/>
  <c r="AJ32" i="24" s="1"/>
  <c r="AI33" i="24"/>
  <c r="AJ33" i="24" s="1"/>
  <c r="AI34" i="24"/>
  <c r="AJ34" i="24" s="1"/>
  <c r="AI35" i="24"/>
  <c r="AJ35" i="24" s="1"/>
  <c r="AI36" i="24"/>
  <c r="AJ36" i="24" s="1"/>
  <c r="AI37" i="24"/>
  <c r="AJ37" i="24" s="1"/>
  <c r="AI38" i="24"/>
  <c r="AJ38" i="24" s="1"/>
  <c r="AI39" i="24"/>
  <c r="AJ39" i="24" s="1"/>
  <c r="AI40" i="24"/>
  <c r="AJ40" i="24" s="1"/>
  <c r="AI41" i="24"/>
  <c r="AJ41" i="24" s="1"/>
  <c r="AI42" i="24"/>
  <c r="AJ42" i="24" s="1"/>
  <c r="AI43" i="24"/>
  <c r="AJ43" i="24" s="1"/>
  <c r="AI44" i="24"/>
  <c r="AJ44" i="24" s="1"/>
  <c r="AI45" i="24"/>
  <c r="AJ45" i="24" s="1"/>
  <c r="AI46" i="24"/>
  <c r="AJ46" i="24" s="1"/>
  <c r="AI47" i="24"/>
  <c r="AJ47" i="24" s="1"/>
  <c r="AI48" i="24"/>
  <c r="AJ48" i="24" s="1"/>
  <c r="AI49" i="24"/>
  <c r="AJ49" i="24" s="1"/>
  <c r="AI50" i="24"/>
  <c r="AJ50" i="24" s="1"/>
  <c r="AI51" i="24"/>
  <c r="AJ51" i="24" s="1"/>
  <c r="AI52" i="24"/>
  <c r="AJ52" i="24" s="1"/>
  <c r="AI53" i="24"/>
  <c r="AJ53" i="24" s="1"/>
  <c r="AI54" i="24"/>
  <c r="AJ54" i="24" s="1"/>
  <c r="AI55" i="24"/>
  <c r="AJ55" i="24" s="1"/>
  <c r="AI56" i="24"/>
  <c r="AJ56" i="24" s="1"/>
  <c r="AI57" i="24"/>
  <c r="AJ57" i="24" s="1"/>
  <c r="AI58" i="24"/>
  <c r="AJ58" i="24" s="1"/>
  <c r="AI59" i="24"/>
  <c r="AJ59" i="24" s="1"/>
  <c r="AI60" i="24"/>
  <c r="AJ60" i="24" s="1"/>
  <c r="AI61" i="24"/>
  <c r="AJ61" i="24" s="1"/>
  <c r="AI62" i="24"/>
  <c r="AJ62" i="24" s="1"/>
  <c r="AI63" i="24"/>
  <c r="AJ63" i="24" s="1"/>
  <c r="AI64" i="24"/>
  <c r="AJ64" i="24" s="1"/>
  <c r="AI65" i="24"/>
  <c r="AJ65" i="24" s="1"/>
  <c r="AI66" i="24"/>
  <c r="AJ66" i="24" s="1"/>
  <c r="AI67" i="24"/>
  <c r="AJ67" i="24" s="1"/>
  <c r="AI68" i="24"/>
  <c r="AJ68" i="24" s="1"/>
  <c r="AI69" i="24"/>
  <c r="AJ69" i="24" s="1"/>
  <c r="AI70" i="24"/>
  <c r="AJ70" i="24" s="1"/>
  <c r="AI71" i="24"/>
  <c r="AJ71" i="24" s="1"/>
  <c r="AI72" i="24"/>
  <c r="AJ72" i="24" s="1"/>
  <c r="AI73" i="24"/>
  <c r="AJ73" i="24" s="1"/>
  <c r="AI74" i="24"/>
  <c r="AJ74" i="24" s="1"/>
  <c r="AI75" i="24"/>
  <c r="AJ75" i="24" s="1"/>
  <c r="AI76" i="24"/>
  <c r="AJ76" i="24" s="1"/>
  <c r="AI77" i="24"/>
  <c r="AJ77" i="24" s="1"/>
  <c r="AI78" i="24"/>
  <c r="AJ78" i="24" s="1"/>
  <c r="AI79" i="24"/>
  <c r="AJ79" i="24" s="1"/>
  <c r="AI80" i="24"/>
  <c r="AJ80" i="24" s="1"/>
  <c r="AI81" i="24"/>
  <c r="AJ81" i="24" s="1"/>
  <c r="AI82" i="24"/>
  <c r="AJ82" i="24" s="1"/>
  <c r="AI83" i="24"/>
  <c r="AJ83" i="24" s="1"/>
  <c r="AI84" i="24"/>
  <c r="AJ84" i="24" s="1"/>
  <c r="AI85" i="24"/>
  <c r="AJ85" i="24" s="1"/>
  <c r="AI86" i="24"/>
  <c r="AJ86" i="24" s="1"/>
  <c r="AI87" i="24"/>
  <c r="AJ87" i="24" s="1"/>
  <c r="AI88" i="24"/>
  <c r="AJ88" i="24" s="1"/>
  <c r="AI89" i="24"/>
  <c r="AJ89" i="24" s="1"/>
  <c r="AI90" i="24"/>
  <c r="AJ90" i="24" s="1"/>
  <c r="AI91" i="24"/>
  <c r="AJ91" i="24" s="1"/>
  <c r="AI92" i="24"/>
  <c r="AJ92" i="24" s="1"/>
  <c r="AI93" i="24"/>
  <c r="AJ93" i="24" s="1"/>
  <c r="AI94" i="24"/>
  <c r="AJ94" i="24" s="1"/>
  <c r="AI95" i="24"/>
  <c r="AJ95" i="24" s="1"/>
  <c r="AI96" i="24"/>
  <c r="AJ96" i="24" s="1"/>
  <c r="AI97" i="24"/>
  <c r="AJ97" i="24" s="1"/>
  <c r="AI98" i="24"/>
  <c r="AJ98" i="24" s="1"/>
  <c r="AI99" i="24"/>
  <c r="AJ99" i="24" s="1"/>
  <c r="AI100" i="24"/>
  <c r="AJ100" i="24" s="1"/>
  <c r="AI101" i="24"/>
  <c r="AJ101" i="24" s="1"/>
  <c r="AI102" i="24"/>
  <c r="AJ102" i="24" s="1"/>
  <c r="AI103" i="24"/>
  <c r="AJ103" i="24" s="1"/>
  <c r="AI104" i="24"/>
  <c r="AJ104" i="24" s="1"/>
  <c r="AI105" i="24"/>
  <c r="AJ105" i="24" s="1"/>
  <c r="AI106" i="24"/>
  <c r="AJ106" i="24" s="1"/>
  <c r="AI107" i="24"/>
  <c r="AJ107" i="24" s="1"/>
  <c r="AI108" i="24"/>
  <c r="AJ108" i="24" s="1"/>
  <c r="AI109" i="24"/>
  <c r="AJ109" i="24" s="1"/>
  <c r="AI110" i="24"/>
  <c r="AJ110" i="24" s="1"/>
  <c r="AI111" i="24"/>
  <c r="AJ111" i="24" s="1"/>
  <c r="AI112" i="24"/>
  <c r="AJ112" i="24" s="1"/>
  <c r="AI113" i="24"/>
  <c r="AJ113" i="24" s="1"/>
  <c r="AI114" i="24"/>
  <c r="AJ114" i="24" s="1"/>
  <c r="AI115" i="24"/>
  <c r="AJ115" i="24" s="1"/>
  <c r="AI116" i="24"/>
  <c r="AJ116" i="24" s="1"/>
  <c r="AI117" i="24"/>
  <c r="AJ117" i="24" s="1"/>
  <c r="AI118" i="24"/>
  <c r="AJ118" i="24" s="1"/>
  <c r="AI119" i="24"/>
  <c r="AJ119" i="24" s="1"/>
  <c r="AI120" i="24"/>
  <c r="AJ120" i="24" s="1"/>
  <c r="AI121" i="24"/>
  <c r="AJ121" i="24" s="1"/>
  <c r="AI122" i="24"/>
  <c r="AJ122" i="24" s="1"/>
  <c r="AI123" i="24"/>
  <c r="AJ123" i="24" s="1"/>
  <c r="AI124" i="24"/>
  <c r="AJ124" i="24" s="1"/>
  <c r="AI125" i="24"/>
  <c r="AJ125" i="24" s="1"/>
  <c r="AI126" i="24"/>
  <c r="AJ126" i="24" s="1"/>
  <c r="AI127" i="24"/>
  <c r="AJ127" i="24" s="1"/>
  <c r="AI128" i="24"/>
  <c r="AJ128" i="24" s="1"/>
  <c r="AI129" i="24"/>
  <c r="AJ129" i="24" s="1"/>
  <c r="AI130" i="24"/>
  <c r="AJ130" i="24" s="1"/>
  <c r="AI131" i="24"/>
  <c r="AJ131" i="24" s="1"/>
  <c r="AI132" i="24"/>
  <c r="AJ132" i="24" s="1"/>
  <c r="AI133" i="24"/>
  <c r="AJ133" i="24" s="1"/>
  <c r="AI134" i="24"/>
  <c r="AJ134" i="24" s="1"/>
  <c r="AI135" i="24"/>
  <c r="AJ135" i="24" s="1"/>
  <c r="AI136" i="24"/>
  <c r="AJ136" i="24" s="1"/>
  <c r="AI137" i="24"/>
  <c r="AJ137" i="24" s="1"/>
  <c r="AI138" i="24"/>
  <c r="AJ138" i="24" s="1"/>
  <c r="AI139" i="24"/>
  <c r="AJ139" i="24" s="1"/>
  <c r="AI140" i="24"/>
  <c r="AJ140" i="24" s="1"/>
  <c r="AI141" i="24"/>
  <c r="AJ141" i="24" s="1"/>
  <c r="AI142" i="24"/>
  <c r="AJ142" i="24" s="1"/>
  <c r="AI143" i="24"/>
  <c r="AJ143" i="24" s="1"/>
  <c r="AI144" i="24"/>
  <c r="AJ144" i="24" s="1"/>
  <c r="AI145" i="24"/>
  <c r="AJ145" i="24" s="1"/>
  <c r="AI146" i="24"/>
  <c r="AJ146" i="24" s="1"/>
  <c r="AI147" i="24"/>
  <c r="AJ147" i="24" s="1"/>
  <c r="AI148" i="24"/>
  <c r="AJ148" i="24" s="1"/>
  <c r="AI149" i="24"/>
  <c r="AJ149" i="24" s="1"/>
  <c r="AI150" i="24"/>
  <c r="AJ150" i="24" s="1"/>
  <c r="AI151" i="24"/>
  <c r="AJ151" i="24" s="1"/>
  <c r="AI152" i="24"/>
  <c r="AJ152" i="24" s="1"/>
  <c r="AI153" i="24"/>
  <c r="AJ153" i="24" s="1"/>
  <c r="AI154" i="24"/>
  <c r="AJ154" i="24" s="1"/>
  <c r="AI155" i="24"/>
  <c r="AJ155" i="24" s="1"/>
  <c r="AI156" i="24"/>
  <c r="AJ156" i="24" s="1"/>
  <c r="AI157" i="24"/>
  <c r="AJ157" i="24" s="1"/>
  <c r="AI158" i="24"/>
  <c r="AJ158" i="24" s="1"/>
  <c r="AI159" i="24"/>
  <c r="AJ159" i="24" s="1"/>
  <c r="AI160" i="24"/>
  <c r="AJ160" i="24" s="1"/>
  <c r="AI161" i="24"/>
  <c r="AJ161" i="24" s="1"/>
  <c r="AI162" i="24"/>
  <c r="AJ162" i="24" s="1"/>
  <c r="AI163" i="24"/>
  <c r="AJ163" i="24" s="1"/>
  <c r="AI164" i="24"/>
  <c r="AJ164" i="24" s="1"/>
  <c r="AI165" i="24"/>
  <c r="AJ165" i="24" s="1"/>
  <c r="AI166" i="24"/>
  <c r="AJ166" i="24" s="1"/>
  <c r="AI167" i="24"/>
  <c r="AJ167" i="24" s="1"/>
  <c r="AI168" i="24"/>
  <c r="AJ168" i="24" s="1"/>
  <c r="AI169" i="24"/>
  <c r="AJ169" i="24" s="1"/>
  <c r="AI170" i="24"/>
  <c r="AJ170" i="24" s="1"/>
  <c r="AI171" i="24"/>
  <c r="AJ171" i="24" s="1"/>
  <c r="AI172" i="24"/>
  <c r="AJ172" i="24" s="1"/>
  <c r="AI173" i="24"/>
  <c r="AJ173" i="24" s="1"/>
  <c r="AI174" i="24"/>
  <c r="AJ174" i="24" s="1"/>
  <c r="AI175" i="24"/>
  <c r="AJ175" i="24" s="1"/>
  <c r="AI176" i="24"/>
  <c r="AJ176" i="24" s="1"/>
  <c r="AI177" i="24"/>
  <c r="AJ177" i="24" s="1"/>
  <c r="AI178" i="24"/>
  <c r="AJ178" i="24" s="1"/>
  <c r="AI179" i="24"/>
  <c r="AJ179" i="24" s="1"/>
  <c r="AI180" i="24"/>
  <c r="AJ180" i="24" s="1"/>
  <c r="AI181" i="24"/>
  <c r="AJ181" i="24" s="1"/>
  <c r="AI182" i="24"/>
  <c r="AJ182" i="24" s="1"/>
  <c r="AI183" i="24"/>
  <c r="AJ183" i="24" s="1"/>
  <c r="AI184" i="24"/>
  <c r="AJ184" i="24" s="1"/>
  <c r="AI185" i="24"/>
  <c r="AJ185" i="24" s="1"/>
  <c r="AI186" i="24"/>
  <c r="AJ186" i="24" s="1"/>
  <c r="AI187" i="24"/>
  <c r="AJ187" i="24" s="1"/>
  <c r="AI188" i="24"/>
  <c r="AJ188" i="24" s="1"/>
  <c r="AI189" i="24"/>
  <c r="AJ189" i="24" s="1"/>
  <c r="AI190" i="24"/>
  <c r="AJ190" i="24" s="1"/>
  <c r="AI191" i="24"/>
  <c r="AJ191" i="24" s="1"/>
  <c r="AI192" i="24"/>
  <c r="AJ192" i="24" s="1"/>
  <c r="AI193" i="24"/>
  <c r="AJ193" i="24" s="1"/>
  <c r="AI194" i="24"/>
  <c r="AJ194" i="24" s="1"/>
  <c r="AI195" i="24"/>
  <c r="AJ195" i="24" s="1"/>
  <c r="AI196" i="24"/>
  <c r="AJ196" i="24" s="1"/>
  <c r="AI197" i="24"/>
  <c r="AJ197" i="24" s="1"/>
  <c r="AI198" i="24"/>
  <c r="AJ198" i="24" s="1"/>
  <c r="AI199" i="24"/>
  <c r="AJ199" i="24" s="1"/>
  <c r="AI200" i="24"/>
  <c r="AJ200" i="24" s="1"/>
  <c r="AI201" i="24"/>
  <c r="AJ201" i="24" s="1"/>
  <c r="AI202" i="24"/>
  <c r="AJ202" i="24" s="1"/>
  <c r="AI203" i="24"/>
  <c r="AJ203" i="24" s="1"/>
  <c r="AI204" i="24"/>
  <c r="AJ204" i="24" s="1"/>
  <c r="AI205" i="24"/>
  <c r="AJ205" i="24" s="1"/>
  <c r="AI206" i="24"/>
  <c r="AJ206" i="24" s="1"/>
  <c r="AI207" i="24"/>
  <c r="AJ207" i="24" s="1"/>
  <c r="AI208" i="24"/>
  <c r="AJ208" i="24" s="1"/>
  <c r="AI209" i="24"/>
  <c r="AJ209" i="24" s="1"/>
  <c r="AI210" i="24"/>
  <c r="AJ210" i="24" s="1"/>
  <c r="AI211" i="24"/>
  <c r="AJ211" i="24" s="1"/>
  <c r="AI212" i="24"/>
  <c r="AJ212" i="24" s="1"/>
  <c r="AI213" i="24"/>
  <c r="AJ213" i="24" s="1"/>
  <c r="AI214" i="24"/>
  <c r="AJ214" i="24" s="1"/>
  <c r="AI215" i="24"/>
  <c r="AJ215" i="24" s="1"/>
  <c r="AI216" i="24"/>
  <c r="AJ216" i="24" s="1"/>
  <c r="AI217" i="24"/>
  <c r="AJ217" i="24" s="1"/>
  <c r="AI218" i="24"/>
  <c r="AJ218" i="24" s="1"/>
  <c r="AI219" i="24"/>
  <c r="AJ219" i="24" s="1"/>
  <c r="AI220" i="24"/>
  <c r="AJ220" i="24" s="1"/>
  <c r="AI221" i="24"/>
  <c r="AJ221" i="24" s="1"/>
  <c r="AI222" i="24"/>
  <c r="AJ222" i="24" s="1"/>
  <c r="AI223" i="24"/>
  <c r="AJ223" i="24" s="1"/>
  <c r="AI224" i="24"/>
  <c r="AJ224" i="24" s="1"/>
  <c r="AI225" i="24"/>
  <c r="AJ225" i="24" s="1"/>
  <c r="AI226" i="24"/>
  <c r="AJ226" i="24" s="1"/>
  <c r="AI227" i="24"/>
  <c r="AJ227" i="24" s="1"/>
  <c r="AI228" i="24"/>
  <c r="AJ228" i="24" s="1"/>
  <c r="AI229" i="24"/>
  <c r="AJ229" i="24" s="1"/>
  <c r="AI230" i="24"/>
  <c r="AJ230" i="24" s="1"/>
  <c r="AI231" i="24"/>
  <c r="AJ231" i="24" s="1"/>
  <c r="AI232" i="24"/>
  <c r="AJ232" i="24" s="1"/>
  <c r="AI233" i="24"/>
  <c r="AJ233" i="24" s="1"/>
  <c r="AI234" i="24"/>
  <c r="AJ234" i="24" s="1"/>
  <c r="AI235" i="24"/>
  <c r="AJ235" i="24" s="1"/>
  <c r="AI236" i="24"/>
  <c r="AJ236" i="24" s="1"/>
  <c r="AI237" i="24"/>
  <c r="AJ237" i="24" s="1"/>
  <c r="AI238" i="24"/>
  <c r="AJ238" i="24" s="1"/>
  <c r="AI239" i="24"/>
  <c r="AJ239" i="24" s="1"/>
  <c r="AI240" i="24"/>
  <c r="AJ240" i="24" s="1"/>
  <c r="AI241" i="24"/>
  <c r="AJ241" i="24" s="1"/>
  <c r="AI242" i="24"/>
  <c r="AJ242" i="24" s="1"/>
  <c r="AI243" i="24"/>
  <c r="AJ243" i="24" s="1"/>
  <c r="AI244" i="24"/>
  <c r="AJ244" i="24" s="1"/>
  <c r="AI245" i="24"/>
  <c r="AJ245" i="24" s="1"/>
  <c r="AI246" i="24"/>
  <c r="AJ246" i="24" s="1"/>
  <c r="AI247" i="24"/>
  <c r="AJ247" i="24" s="1"/>
  <c r="AI248" i="24"/>
  <c r="AJ248" i="24" s="1"/>
  <c r="AI249" i="24"/>
  <c r="AJ249" i="24" s="1"/>
  <c r="AI250" i="24"/>
  <c r="AJ250" i="24" s="1"/>
  <c r="AI251" i="24"/>
  <c r="AJ251" i="24" s="1"/>
  <c r="AI252" i="24"/>
  <c r="AJ252" i="24" s="1"/>
  <c r="AI253" i="24"/>
  <c r="AJ253" i="24" s="1"/>
  <c r="AI254" i="24"/>
  <c r="AJ254" i="24" s="1"/>
  <c r="AI255" i="24"/>
  <c r="AJ255" i="24" s="1"/>
  <c r="AI256" i="24"/>
  <c r="AJ256" i="24" s="1"/>
  <c r="AI257" i="24"/>
  <c r="AJ257" i="24" s="1"/>
  <c r="AI258" i="24"/>
  <c r="AJ258" i="24" s="1"/>
  <c r="AI259" i="24"/>
  <c r="AJ259" i="24" s="1"/>
  <c r="AI260" i="24"/>
  <c r="AJ260" i="24" s="1"/>
  <c r="AI261" i="24"/>
  <c r="AJ261" i="24" s="1"/>
  <c r="AI262" i="24"/>
  <c r="AJ262" i="24" s="1"/>
  <c r="AI263" i="24"/>
  <c r="AJ263" i="24" s="1"/>
  <c r="AI264" i="24"/>
  <c r="AJ264" i="24" s="1"/>
  <c r="AI265" i="24"/>
  <c r="AJ265" i="24" s="1"/>
  <c r="AI266" i="24"/>
  <c r="AJ266" i="24" s="1"/>
  <c r="AI267" i="24"/>
  <c r="AJ267" i="24" s="1"/>
  <c r="AI268" i="24"/>
  <c r="AJ268" i="24" s="1"/>
  <c r="AI269" i="24"/>
  <c r="AJ269" i="24" s="1"/>
  <c r="AI270" i="24"/>
  <c r="AJ270" i="24" s="1"/>
  <c r="AI271" i="24"/>
  <c r="AJ271" i="24" s="1"/>
  <c r="AI272" i="24"/>
  <c r="AJ272" i="24" s="1"/>
  <c r="AI273" i="24"/>
  <c r="AJ273" i="24" s="1"/>
  <c r="AI274" i="24"/>
  <c r="AJ274" i="24" s="1"/>
  <c r="AI275" i="24"/>
  <c r="AJ275" i="24" s="1"/>
  <c r="AI276" i="24"/>
  <c r="AJ276" i="24" s="1"/>
  <c r="AI277" i="24"/>
  <c r="AJ277" i="24" s="1"/>
  <c r="AI278" i="24"/>
  <c r="AJ278" i="24" s="1"/>
  <c r="AI279" i="24"/>
  <c r="AJ279" i="24" s="1"/>
  <c r="AI280" i="24"/>
  <c r="AJ280" i="24" s="1"/>
  <c r="AI281" i="24"/>
  <c r="AJ281" i="24" s="1"/>
  <c r="AI282" i="24"/>
  <c r="AJ282" i="24" s="1"/>
  <c r="AI283" i="24"/>
  <c r="AJ283" i="24" s="1"/>
  <c r="AI284" i="24"/>
  <c r="AJ284" i="24" s="1"/>
  <c r="AI285" i="24"/>
  <c r="AJ285" i="24" s="1"/>
  <c r="AI286" i="24"/>
  <c r="AJ286" i="24" s="1"/>
  <c r="AI287" i="24"/>
  <c r="AJ287" i="24" s="1"/>
  <c r="AI288" i="24"/>
  <c r="AJ288" i="24" s="1"/>
  <c r="AI289" i="24"/>
  <c r="AJ289" i="24" s="1"/>
  <c r="AI290" i="24"/>
  <c r="AJ290" i="24" s="1"/>
  <c r="AI291" i="24"/>
  <c r="AJ291" i="24" s="1"/>
  <c r="AI292" i="24"/>
  <c r="AJ292" i="24" s="1"/>
  <c r="AI293" i="24"/>
  <c r="AJ293" i="24" s="1"/>
  <c r="AI294" i="24"/>
  <c r="AJ294" i="24" s="1"/>
  <c r="AI295" i="24"/>
  <c r="AJ295" i="24" s="1"/>
  <c r="AI296" i="24"/>
  <c r="AJ296" i="24" s="1"/>
  <c r="AI297" i="24"/>
  <c r="AJ297" i="24" s="1"/>
  <c r="AI298" i="24"/>
  <c r="AJ298" i="24" s="1"/>
  <c r="AI299" i="24"/>
  <c r="AJ299" i="24" s="1"/>
  <c r="AI300" i="24"/>
  <c r="AJ300" i="24" s="1"/>
  <c r="AI301" i="24"/>
  <c r="AJ301" i="24" s="1"/>
  <c r="AI302" i="24"/>
  <c r="AJ302" i="24" s="1"/>
  <c r="AI303" i="24"/>
  <c r="AJ303" i="24" s="1"/>
  <c r="AI304" i="24"/>
  <c r="AJ304" i="24" s="1"/>
  <c r="AI305" i="24"/>
  <c r="AJ305" i="24" s="1"/>
  <c r="AI306" i="24"/>
  <c r="AJ306" i="24" s="1"/>
  <c r="AI307" i="24"/>
  <c r="AJ307" i="24" s="1"/>
  <c r="AI308" i="24"/>
  <c r="AJ308" i="24" s="1"/>
  <c r="AI309" i="24"/>
  <c r="AJ309" i="24" s="1"/>
  <c r="AI310" i="24"/>
  <c r="AJ310" i="24" s="1"/>
  <c r="AI311" i="24"/>
  <c r="AJ311" i="24" s="1"/>
  <c r="AI312" i="24"/>
  <c r="AJ312" i="24" s="1"/>
  <c r="AI313" i="24"/>
  <c r="AJ313" i="24" s="1"/>
  <c r="AI314" i="24"/>
  <c r="AJ314" i="24" s="1"/>
  <c r="AI315" i="24"/>
  <c r="AJ315" i="24" s="1"/>
  <c r="AI316" i="24"/>
  <c r="AJ316" i="24" s="1"/>
  <c r="AI317" i="24"/>
  <c r="AJ317" i="24" s="1"/>
  <c r="AI318" i="24"/>
  <c r="AJ318" i="24" s="1"/>
  <c r="AI319" i="24"/>
  <c r="AJ319" i="24" s="1"/>
  <c r="AI320" i="24"/>
  <c r="AJ320" i="24" s="1"/>
  <c r="AI321" i="24"/>
  <c r="AJ321" i="24" s="1"/>
  <c r="AI322" i="24"/>
  <c r="AJ322" i="24" s="1"/>
  <c r="AI323" i="24"/>
  <c r="AJ323" i="24" s="1"/>
  <c r="AI324" i="24"/>
  <c r="AJ324" i="24" s="1"/>
  <c r="AI325" i="24"/>
  <c r="AJ325" i="24" s="1"/>
  <c r="AI326" i="24"/>
  <c r="AJ326" i="24" s="1"/>
  <c r="AI327" i="24"/>
  <c r="AJ327" i="24" s="1"/>
  <c r="AI328" i="24"/>
  <c r="AJ328" i="24" s="1"/>
  <c r="AI329" i="24"/>
  <c r="AJ329" i="24" s="1"/>
  <c r="AI330" i="24"/>
  <c r="AJ330" i="24" s="1"/>
  <c r="AI331" i="24"/>
  <c r="AJ331" i="24" s="1"/>
  <c r="AI332" i="24"/>
  <c r="AJ332" i="24" s="1"/>
  <c r="AI333" i="24"/>
  <c r="AJ333" i="24" s="1"/>
  <c r="AI334" i="24"/>
  <c r="AJ334" i="24" s="1"/>
  <c r="AI335" i="24"/>
  <c r="AJ335" i="24" s="1"/>
  <c r="AI336" i="24"/>
  <c r="AJ336" i="24" s="1"/>
  <c r="AI337" i="24"/>
  <c r="AJ337" i="24" s="1"/>
  <c r="AI338" i="24"/>
  <c r="AJ338" i="24" s="1"/>
  <c r="AI339" i="24"/>
  <c r="AJ339" i="24" s="1"/>
  <c r="AI340" i="24"/>
  <c r="AJ340" i="24" s="1"/>
  <c r="AI341" i="24"/>
  <c r="AJ341" i="24" s="1"/>
  <c r="AI342" i="24"/>
  <c r="AJ342" i="24" s="1"/>
  <c r="AI343" i="24"/>
  <c r="AJ343" i="24" s="1"/>
  <c r="AI344" i="24"/>
  <c r="AJ344" i="24" s="1"/>
  <c r="AI345" i="24"/>
  <c r="AJ345" i="24" s="1"/>
  <c r="AI346" i="24"/>
  <c r="AJ346" i="24" s="1"/>
  <c r="AI347" i="24"/>
  <c r="AJ347" i="24" s="1"/>
  <c r="AI348" i="24"/>
  <c r="AJ348" i="24" s="1"/>
  <c r="AI349" i="24"/>
  <c r="AJ349" i="24" s="1"/>
  <c r="AI350" i="24"/>
  <c r="AJ350" i="24" s="1"/>
  <c r="AI351" i="24"/>
  <c r="AJ351" i="24" s="1"/>
  <c r="AI352" i="24"/>
  <c r="AJ352" i="24" s="1"/>
  <c r="AI353" i="24"/>
  <c r="AJ353" i="24" s="1"/>
  <c r="AI354" i="24"/>
  <c r="AJ354" i="24" s="1"/>
  <c r="AI355" i="24"/>
  <c r="AJ355" i="24" s="1"/>
  <c r="AI356" i="24"/>
  <c r="AJ356" i="24" s="1"/>
  <c r="AI357" i="24"/>
  <c r="AJ357" i="24" s="1"/>
  <c r="AI358" i="24"/>
  <c r="AJ358" i="24" s="1"/>
  <c r="AI359" i="24"/>
  <c r="AJ359" i="24" s="1"/>
  <c r="AI360" i="24"/>
  <c r="AJ360" i="24" s="1"/>
  <c r="AI361" i="24"/>
  <c r="AJ361" i="24" s="1"/>
  <c r="AI362" i="24"/>
  <c r="AJ362" i="24" s="1"/>
  <c r="AI363" i="24"/>
  <c r="AJ363" i="24" s="1"/>
  <c r="AI364" i="24"/>
  <c r="AJ364" i="24" s="1"/>
  <c r="AI365" i="24"/>
  <c r="AJ365" i="24" s="1"/>
  <c r="AI366" i="24"/>
  <c r="AJ366" i="24" s="1"/>
  <c r="AI367" i="24"/>
  <c r="AJ367" i="24" s="1"/>
  <c r="AI368" i="24"/>
  <c r="AJ368" i="24" s="1"/>
  <c r="AI369" i="24"/>
  <c r="AJ369" i="24" s="1"/>
  <c r="AI370" i="24"/>
  <c r="AJ370" i="24" s="1"/>
  <c r="AI371" i="24"/>
  <c r="AJ371" i="24" s="1"/>
  <c r="AI372" i="24"/>
  <c r="AJ372" i="24" s="1"/>
  <c r="AI373" i="24"/>
  <c r="AJ373" i="24" s="1"/>
  <c r="AI374" i="24"/>
  <c r="AJ374" i="24" s="1"/>
  <c r="AI375" i="24"/>
  <c r="AJ375" i="24" s="1"/>
  <c r="AI376" i="24"/>
  <c r="AJ376" i="24" s="1"/>
  <c r="AI377" i="24"/>
  <c r="AJ377" i="24" s="1"/>
  <c r="AI378" i="24"/>
  <c r="AJ378" i="24" s="1"/>
  <c r="AI379" i="24"/>
  <c r="AJ379" i="24" s="1"/>
  <c r="AI380" i="24"/>
  <c r="AJ380" i="24" s="1"/>
  <c r="AI381" i="24"/>
  <c r="AJ381" i="24" s="1"/>
  <c r="AI382" i="24"/>
  <c r="AJ382" i="24" s="1"/>
  <c r="AI383" i="24"/>
  <c r="AJ383" i="24" s="1"/>
  <c r="AI384" i="24"/>
  <c r="AJ384" i="24" s="1"/>
  <c r="AI385" i="24"/>
  <c r="AJ385" i="24" s="1"/>
  <c r="AI386" i="24"/>
  <c r="AJ386" i="24" s="1"/>
  <c r="AI387" i="24"/>
  <c r="AJ387" i="24" s="1"/>
  <c r="AI388" i="24"/>
  <c r="AJ388" i="24" s="1"/>
  <c r="AI389" i="24"/>
  <c r="AJ389" i="24" s="1"/>
  <c r="AI390" i="24"/>
  <c r="AJ390" i="24" s="1"/>
  <c r="AI391" i="24"/>
  <c r="AJ391" i="24" s="1"/>
  <c r="AI392" i="24"/>
  <c r="AJ392" i="24" s="1"/>
  <c r="AI393" i="24"/>
  <c r="AJ393" i="24" s="1"/>
  <c r="AI394" i="24"/>
  <c r="AJ394" i="24" s="1"/>
  <c r="AI395" i="24"/>
  <c r="AJ395" i="24" s="1"/>
  <c r="AI396" i="24"/>
  <c r="AJ396" i="24" s="1"/>
  <c r="AI397" i="24"/>
  <c r="AJ397" i="24" s="1"/>
  <c r="AI398" i="24"/>
  <c r="AJ398" i="24" s="1"/>
  <c r="AI399" i="24"/>
  <c r="AJ399" i="24" s="1"/>
  <c r="AI400" i="24"/>
  <c r="AJ400" i="24" s="1"/>
  <c r="AI401" i="24"/>
  <c r="AJ401" i="24" s="1"/>
  <c r="AI402" i="24"/>
  <c r="AJ402" i="24" s="1"/>
  <c r="AI403" i="24"/>
  <c r="AJ403" i="24" s="1"/>
  <c r="AI404" i="24"/>
  <c r="AJ404" i="24" s="1"/>
  <c r="AI405" i="24"/>
  <c r="AJ405" i="24" s="1"/>
  <c r="AI406" i="24"/>
  <c r="AJ406" i="24" s="1"/>
  <c r="AI407" i="24"/>
  <c r="AJ407" i="24" s="1"/>
  <c r="AI408" i="24"/>
  <c r="AJ408" i="24" s="1"/>
  <c r="AI409" i="24"/>
  <c r="AJ409" i="24" s="1"/>
  <c r="AI410" i="24"/>
  <c r="AJ410" i="24" s="1"/>
  <c r="AI411" i="24"/>
  <c r="AJ411" i="24" s="1"/>
  <c r="AI412" i="24"/>
  <c r="AJ412" i="24" s="1"/>
  <c r="AI413" i="24"/>
  <c r="AJ413" i="24" s="1"/>
  <c r="AI414" i="24"/>
  <c r="AJ414" i="24" s="1"/>
  <c r="AI415" i="24"/>
  <c r="AJ415" i="24" s="1"/>
  <c r="AI416" i="24"/>
  <c r="AJ416" i="24" s="1"/>
  <c r="AI417" i="24"/>
  <c r="AJ417" i="24" s="1"/>
  <c r="AI418" i="24"/>
  <c r="AJ418" i="24" s="1"/>
  <c r="AI419" i="24"/>
  <c r="AJ419" i="24" s="1"/>
  <c r="AI420" i="24"/>
  <c r="AJ420" i="24" s="1"/>
  <c r="AI421" i="24"/>
  <c r="AJ421" i="24" s="1"/>
  <c r="AI422" i="24"/>
  <c r="AJ422" i="24" s="1"/>
  <c r="AI423" i="24"/>
  <c r="AJ423" i="24" s="1"/>
  <c r="AI424" i="24"/>
  <c r="AJ424" i="24" s="1"/>
  <c r="AI425" i="24"/>
  <c r="AJ425" i="24" s="1"/>
  <c r="AI426" i="24"/>
  <c r="AJ426" i="24" s="1"/>
  <c r="AI427" i="24"/>
  <c r="AJ427" i="24" s="1"/>
  <c r="AI428" i="24"/>
  <c r="AJ428" i="24" s="1"/>
  <c r="AI429" i="24"/>
  <c r="AJ429" i="24" s="1"/>
  <c r="AI430" i="24"/>
  <c r="AJ430" i="24" s="1"/>
  <c r="AI431" i="24"/>
  <c r="AJ431" i="24" s="1"/>
  <c r="AI432" i="24"/>
  <c r="AJ432" i="24" s="1"/>
  <c r="AI433" i="24"/>
  <c r="AJ433" i="24" s="1"/>
  <c r="AI434" i="24"/>
  <c r="AJ434" i="24" s="1"/>
  <c r="AI435" i="24"/>
  <c r="AJ435" i="24" s="1"/>
  <c r="AI436" i="24"/>
  <c r="AJ436" i="24" s="1"/>
  <c r="AI437" i="24"/>
  <c r="AJ437" i="24" s="1"/>
  <c r="AI438" i="24"/>
  <c r="AJ438" i="24" s="1"/>
  <c r="AI439" i="24"/>
  <c r="AJ439" i="24" s="1"/>
  <c r="AI440" i="24"/>
  <c r="AJ440" i="24" s="1"/>
  <c r="AI441" i="24"/>
  <c r="AJ441" i="24" s="1"/>
  <c r="AI442" i="24"/>
  <c r="AJ442" i="24" s="1"/>
  <c r="AI443" i="24"/>
  <c r="AJ443" i="24" s="1"/>
  <c r="AI444" i="24"/>
  <c r="AJ444" i="24" s="1"/>
  <c r="AI445" i="24"/>
  <c r="AJ445" i="24" s="1"/>
  <c r="AI446" i="24"/>
  <c r="AJ446" i="24" s="1"/>
  <c r="AI447" i="24"/>
  <c r="AJ447" i="24" s="1"/>
  <c r="AI448" i="24"/>
  <c r="AJ448" i="24" s="1"/>
  <c r="AI449" i="24"/>
  <c r="AJ449" i="24" s="1"/>
  <c r="AI450" i="24"/>
  <c r="AJ450" i="24" s="1"/>
  <c r="AI451" i="24"/>
  <c r="AJ451" i="24" s="1"/>
  <c r="AI452" i="24"/>
  <c r="AJ452" i="24" s="1"/>
  <c r="AI453" i="24"/>
  <c r="AJ453" i="24" s="1"/>
  <c r="AI454" i="24"/>
  <c r="AJ454" i="24" s="1"/>
  <c r="AI455" i="24"/>
  <c r="AJ455" i="24" s="1"/>
  <c r="AI456" i="24"/>
  <c r="AJ456" i="24" s="1"/>
  <c r="AI457" i="24"/>
  <c r="AJ457" i="24" s="1"/>
  <c r="AI458" i="24"/>
  <c r="AJ458" i="24" s="1"/>
  <c r="AI459" i="24"/>
  <c r="AJ459" i="24" s="1"/>
  <c r="AI460" i="24"/>
  <c r="AJ460" i="24" s="1"/>
  <c r="AI461" i="24"/>
  <c r="AJ461" i="24" s="1"/>
  <c r="AI462" i="24"/>
  <c r="AJ462" i="24" s="1"/>
  <c r="AI463" i="24"/>
  <c r="AJ463" i="24" s="1"/>
  <c r="AI464" i="24"/>
  <c r="AJ464" i="24" s="1"/>
  <c r="AI465" i="24"/>
  <c r="AJ465" i="24" s="1"/>
  <c r="AI466" i="24"/>
  <c r="AJ466" i="24" s="1"/>
  <c r="AI467" i="24"/>
  <c r="AJ467" i="24" s="1"/>
  <c r="AI468" i="24"/>
  <c r="AJ468" i="24" s="1"/>
  <c r="AI469" i="24"/>
  <c r="AJ469" i="24" s="1"/>
  <c r="AI470" i="24"/>
  <c r="AJ470" i="24" s="1"/>
  <c r="AI471" i="24"/>
  <c r="AJ471" i="24" s="1"/>
  <c r="AI472" i="24"/>
  <c r="AJ472" i="24" s="1"/>
  <c r="AI473" i="24"/>
  <c r="AJ473" i="24" s="1"/>
  <c r="AI474" i="24"/>
  <c r="AJ474" i="24" s="1"/>
  <c r="AI475" i="24"/>
  <c r="AJ475" i="24" s="1"/>
  <c r="AI476" i="24"/>
  <c r="AJ476" i="24" s="1"/>
  <c r="AI477" i="24"/>
  <c r="AJ477" i="24" s="1"/>
  <c r="AI478" i="24"/>
  <c r="AJ478" i="24" s="1"/>
  <c r="AI479" i="24"/>
  <c r="AJ479" i="24" s="1"/>
  <c r="AI480" i="24"/>
  <c r="AJ480" i="24" s="1"/>
  <c r="AI481" i="24"/>
  <c r="AJ481" i="24" s="1"/>
  <c r="AI482" i="24"/>
  <c r="AJ482" i="24" s="1"/>
  <c r="AI483" i="24"/>
  <c r="AJ483" i="24" s="1"/>
  <c r="AI484" i="24"/>
  <c r="AJ484" i="24" s="1"/>
  <c r="AI485" i="24"/>
  <c r="AJ485" i="24" s="1"/>
  <c r="AI486" i="24"/>
  <c r="AJ486" i="24" s="1"/>
  <c r="AI487" i="24"/>
  <c r="AJ487" i="24" s="1"/>
  <c r="AI488" i="24"/>
  <c r="AJ488" i="24" s="1"/>
  <c r="AI489" i="24"/>
  <c r="AJ489" i="24" s="1"/>
  <c r="AI490" i="24"/>
  <c r="AJ490" i="24" s="1"/>
  <c r="AI491" i="24"/>
  <c r="AJ491" i="24" s="1"/>
  <c r="AI492" i="24"/>
  <c r="AJ492" i="24" s="1"/>
  <c r="AI493" i="24"/>
  <c r="AJ493" i="24" s="1"/>
  <c r="AI494" i="24"/>
  <c r="AJ494" i="24" s="1"/>
  <c r="AI495" i="24"/>
  <c r="AJ495" i="24" s="1"/>
  <c r="AI496" i="24"/>
  <c r="AJ496" i="24" s="1"/>
  <c r="AI497" i="24"/>
  <c r="AJ497" i="24" s="1"/>
  <c r="AI498" i="24"/>
  <c r="AJ498" i="24" s="1"/>
  <c r="AI499" i="24"/>
  <c r="AJ499" i="24" s="1"/>
  <c r="AI500" i="24"/>
  <c r="AJ500" i="24" s="1"/>
  <c r="AI6" i="24"/>
  <c r="AJ6" i="24" s="1"/>
  <c r="AD7" i="24"/>
  <c r="AD8" i="24"/>
  <c r="AD9" i="24"/>
  <c r="AD10" i="24"/>
  <c r="AD11" i="24"/>
  <c r="AD12" i="24"/>
  <c r="AD13" i="24"/>
  <c r="AD14" i="24"/>
  <c r="AD15" i="24"/>
  <c r="AD16" i="24"/>
  <c r="AD17" i="24"/>
  <c r="AD18" i="24"/>
  <c r="AD19" i="24"/>
  <c r="AD20" i="24"/>
  <c r="AD21" i="24"/>
  <c r="AD22" i="24"/>
  <c r="AD23" i="24"/>
  <c r="AD24" i="24"/>
  <c r="AD25" i="24"/>
  <c r="AD26" i="24"/>
  <c r="AD27" i="24"/>
  <c r="AD28" i="24"/>
  <c r="AD29" i="24"/>
  <c r="AD30" i="24"/>
  <c r="AD31" i="24"/>
  <c r="AD32" i="24"/>
  <c r="AD33" i="24"/>
  <c r="AD34" i="24"/>
  <c r="AD35" i="24"/>
  <c r="AD36" i="24"/>
  <c r="AD37" i="24"/>
  <c r="AD38" i="24"/>
  <c r="AD39" i="24"/>
  <c r="AD40" i="24"/>
  <c r="AD41" i="24"/>
  <c r="AD42" i="24"/>
  <c r="AD43" i="24"/>
  <c r="AD44" i="24"/>
  <c r="AD45" i="24"/>
  <c r="AD46" i="24"/>
  <c r="AD47" i="24"/>
  <c r="AD48" i="24"/>
  <c r="AD49" i="24"/>
  <c r="AD50" i="24"/>
  <c r="AD51" i="24"/>
  <c r="AD52" i="24"/>
  <c r="AD53" i="24"/>
  <c r="AD54" i="24"/>
  <c r="AD55" i="24"/>
  <c r="AD56" i="24"/>
  <c r="AD57" i="24"/>
  <c r="AD58" i="24"/>
  <c r="AD59" i="24"/>
  <c r="AD60" i="24"/>
  <c r="AD61" i="24"/>
  <c r="AD62" i="24"/>
  <c r="AD63" i="24"/>
  <c r="AD64" i="24"/>
  <c r="AD65" i="24"/>
  <c r="AD66" i="24"/>
  <c r="AD67" i="24"/>
  <c r="AD68" i="24"/>
  <c r="AD69" i="24"/>
  <c r="AD70" i="24"/>
  <c r="AD71" i="24"/>
  <c r="AD72" i="24"/>
  <c r="AD73" i="24"/>
  <c r="AD74" i="24"/>
  <c r="AD75" i="24"/>
  <c r="AD76" i="24"/>
  <c r="AD77" i="24"/>
  <c r="AD78" i="24"/>
  <c r="AD79" i="24"/>
  <c r="AD80" i="24"/>
  <c r="AD81" i="24"/>
  <c r="AD82" i="24"/>
  <c r="AD83" i="24"/>
  <c r="AD84" i="24"/>
  <c r="AD85" i="24"/>
  <c r="AD86" i="24"/>
  <c r="AD87" i="24"/>
  <c r="AD88" i="24"/>
  <c r="AD89" i="24"/>
  <c r="AD90" i="24"/>
  <c r="AD91" i="24"/>
  <c r="AD92" i="24"/>
  <c r="AD93" i="24"/>
  <c r="AD94" i="24"/>
  <c r="AD95" i="24"/>
  <c r="AD96" i="24"/>
  <c r="AD97" i="24"/>
  <c r="AD98" i="24"/>
  <c r="AD99" i="24"/>
  <c r="AD100" i="24"/>
  <c r="AD101" i="24"/>
  <c r="AD102" i="24"/>
  <c r="AD103" i="24"/>
  <c r="AD104" i="24"/>
  <c r="AD105" i="24"/>
  <c r="AD106" i="24"/>
  <c r="AD107" i="24"/>
  <c r="AD108" i="24"/>
  <c r="AD109" i="24"/>
  <c r="AD110" i="24"/>
  <c r="AD111" i="24"/>
  <c r="AD112" i="24"/>
  <c r="AD113" i="24"/>
  <c r="AD114" i="24"/>
  <c r="AD115" i="24"/>
  <c r="AD116" i="24"/>
  <c r="AD117" i="24"/>
  <c r="AD118" i="24"/>
  <c r="AD119" i="24"/>
  <c r="AD120" i="24"/>
  <c r="AD121" i="24"/>
  <c r="AD122" i="24"/>
  <c r="AD123" i="24"/>
  <c r="AD124" i="24"/>
  <c r="AD125" i="24"/>
  <c r="AD126" i="24"/>
  <c r="AD127" i="24"/>
  <c r="AD128" i="24"/>
  <c r="AD129" i="24"/>
  <c r="AD130" i="24"/>
  <c r="AD131" i="24"/>
  <c r="AD132" i="24"/>
  <c r="AD133" i="24"/>
  <c r="AD134" i="24"/>
  <c r="AD135" i="24"/>
  <c r="AD136" i="24"/>
  <c r="AD137" i="24"/>
  <c r="AD138" i="24"/>
  <c r="AD139" i="24"/>
  <c r="AD140" i="24"/>
  <c r="AD141" i="24"/>
  <c r="AD142" i="24"/>
  <c r="AD143" i="24"/>
  <c r="AD144" i="24"/>
  <c r="AD145" i="24"/>
  <c r="AD146" i="24"/>
  <c r="AD147" i="24"/>
  <c r="AD148" i="24"/>
  <c r="AD149" i="24"/>
  <c r="AD150" i="24"/>
  <c r="AD151" i="24"/>
  <c r="AD152" i="24"/>
  <c r="AD153" i="24"/>
  <c r="AD154" i="24"/>
  <c r="AD155" i="24"/>
  <c r="AD156" i="24"/>
  <c r="AD157" i="24"/>
  <c r="AD158" i="24"/>
  <c r="AD159" i="24"/>
  <c r="AD160" i="24"/>
  <c r="AD161" i="24"/>
  <c r="AD162" i="24"/>
  <c r="AD163" i="24"/>
  <c r="AD164" i="24"/>
  <c r="AD165" i="24"/>
  <c r="AD166" i="24"/>
  <c r="AD167" i="24"/>
  <c r="AD168" i="24"/>
  <c r="AD169" i="24"/>
  <c r="AD170" i="24"/>
  <c r="AD171" i="24"/>
  <c r="AD172" i="24"/>
  <c r="AD173" i="24"/>
  <c r="AD174" i="24"/>
  <c r="AD175" i="24"/>
  <c r="AD176" i="24"/>
  <c r="AD177" i="24"/>
  <c r="AD178" i="24"/>
  <c r="AD179" i="24"/>
  <c r="AD180" i="24"/>
  <c r="AD181" i="24"/>
  <c r="AD182" i="24"/>
  <c r="AD183" i="24"/>
  <c r="AD184" i="24"/>
  <c r="AD185" i="24"/>
  <c r="AD186" i="24"/>
  <c r="AD187" i="24"/>
  <c r="AD188" i="24"/>
  <c r="AD189" i="24"/>
  <c r="AD190" i="24"/>
  <c r="AD191" i="24"/>
  <c r="AD192" i="24"/>
  <c r="AD193" i="24"/>
  <c r="AD194" i="24"/>
  <c r="AD195" i="24"/>
  <c r="AD196" i="24"/>
  <c r="AD197" i="24"/>
  <c r="AD198" i="24"/>
  <c r="AD199" i="24"/>
  <c r="AD200" i="24"/>
  <c r="AD201" i="24"/>
  <c r="AD202" i="24"/>
  <c r="AD203" i="24"/>
  <c r="AD204" i="24"/>
  <c r="AD205" i="24"/>
  <c r="AD206" i="24"/>
  <c r="AD207" i="24"/>
  <c r="AD208" i="24"/>
  <c r="AD209" i="24"/>
  <c r="AD210" i="24"/>
  <c r="AD211" i="24"/>
  <c r="AD212" i="24"/>
  <c r="AD213" i="24"/>
  <c r="AD214" i="24"/>
  <c r="AD215" i="24"/>
  <c r="AD216" i="24"/>
  <c r="AD217" i="24"/>
  <c r="AD218" i="24"/>
  <c r="AD219" i="24"/>
  <c r="AD220" i="24"/>
  <c r="AD221" i="24"/>
  <c r="AD222" i="24"/>
  <c r="AD223" i="24"/>
  <c r="AD224" i="24"/>
  <c r="AD225" i="24"/>
  <c r="AD226" i="24"/>
  <c r="AD227" i="24"/>
  <c r="AD228" i="24"/>
  <c r="AD229" i="24"/>
  <c r="AD230" i="24"/>
  <c r="AD231" i="24"/>
  <c r="AD232" i="24"/>
  <c r="AD233" i="24"/>
  <c r="AD234" i="24"/>
  <c r="AD235" i="24"/>
  <c r="AD236" i="24"/>
  <c r="AD237" i="24"/>
  <c r="AD238" i="24"/>
  <c r="AD239" i="24"/>
  <c r="AD240" i="24"/>
  <c r="AD241" i="24"/>
  <c r="AD242" i="24"/>
  <c r="AD243" i="24"/>
  <c r="AD244" i="24"/>
  <c r="AD245" i="24"/>
  <c r="AD246" i="24"/>
  <c r="AD247" i="24"/>
  <c r="AD248" i="24"/>
  <c r="AD249" i="24"/>
  <c r="AD250" i="24"/>
  <c r="AD251" i="24"/>
  <c r="AD252" i="24"/>
  <c r="AD253" i="24"/>
  <c r="AD254" i="24"/>
  <c r="AD255" i="24"/>
  <c r="AD256" i="24"/>
  <c r="AD257" i="24"/>
  <c r="AD258" i="24"/>
  <c r="AD259" i="24"/>
  <c r="AD260" i="24"/>
  <c r="AD261" i="24"/>
  <c r="AD262" i="24"/>
  <c r="AD263" i="24"/>
  <c r="AD264" i="24"/>
  <c r="AD265" i="24"/>
  <c r="AD266" i="24"/>
  <c r="AD267" i="24"/>
  <c r="AD268" i="24"/>
  <c r="AD269" i="24"/>
  <c r="AD270" i="24"/>
  <c r="AD271" i="24"/>
  <c r="AD272" i="24"/>
  <c r="AD273" i="24"/>
  <c r="AD274" i="24"/>
  <c r="AD275" i="24"/>
  <c r="AD276" i="24"/>
  <c r="AD277" i="24"/>
  <c r="AD278" i="24"/>
  <c r="AD279" i="24"/>
  <c r="AD280" i="24"/>
  <c r="AD281" i="24"/>
  <c r="AD282" i="24"/>
  <c r="AD283" i="24"/>
  <c r="AD284" i="24"/>
  <c r="AD285" i="24"/>
  <c r="AD286" i="24"/>
  <c r="AD287" i="24"/>
  <c r="AD288" i="24"/>
  <c r="AD289" i="24"/>
  <c r="AD290" i="24"/>
  <c r="AD291" i="24"/>
  <c r="AD292" i="24"/>
  <c r="AD293" i="24"/>
  <c r="AD294" i="24"/>
  <c r="AD295" i="24"/>
  <c r="AD296" i="24"/>
  <c r="AD297" i="24"/>
  <c r="AD298" i="24"/>
  <c r="AD299" i="24"/>
  <c r="AD300" i="24"/>
  <c r="AD301" i="24"/>
  <c r="AD302" i="24"/>
  <c r="AD303" i="24"/>
  <c r="AD304" i="24"/>
  <c r="AD305" i="24"/>
  <c r="AD306" i="24"/>
  <c r="AD307" i="24"/>
  <c r="AD308" i="24"/>
  <c r="AD309" i="24"/>
  <c r="AD310" i="24"/>
  <c r="AD311" i="24"/>
  <c r="AD312" i="24"/>
  <c r="AD313" i="24"/>
  <c r="AD314" i="24"/>
  <c r="AD315" i="24"/>
  <c r="AD316" i="24"/>
  <c r="AD317" i="24"/>
  <c r="AD318" i="24"/>
  <c r="AD319" i="24"/>
  <c r="AD320" i="24"/>
  <c r="AD321" i="24"/>
  <c r="AD322" i="24"/>
  <c r="AD323" i="24"/>
  <c r="AD324" i="24"/>
  <c r="AD325" i="24"/>
  <c r="AD326" i="24"/>
  <c r="AD327" i="24"/>
  <c r="AD328" i="24"/>
  <c r="AD329" i="24"/>
  <c r="AD330" i="24"/>
  <c r="AD331" i="24"/>
  <c r="AD332" i="24"/>
  <c r="AD333" i="24"/>
  <c r="AD334" i="24"/>
  <c r="AD335" i="24"/>
  <c r="AD336" i="24"/>
  <c r="AD337" i="24"/>
  <c r="AD338" i="24"/>
  <c r="AD339" i="24"/>
  <c r="AD340" i="24"/>
  <c r="AD341" i="24"/>
  <c r="AD342" i="24"/>
  <c r="AD343" i="24"/>
  <c r="AD344" i="24"/>
  <c r="AD345" i="24"/>
  <c r="AD346" i="24"/>
  <c r="AD347" i="24"/>
  <c r="AD348" i="24"/>
  <c r="AD349" i="24"/>
  <c r="AD350" i="24"/>
  <c r="AD351" i="24"/>
  <c r="AD352" i="24"/>
  <c r="AD353" i="24"/>
  <c r="AD354" i="24"/>
  <c r="AD355" i="24"/>
  <c r="AD356" i="24"/>
  <c r="AD357" i="24"/>
  <c r="AD358" i="24"/>
  <c r="AD359" i="24"/>
  <c r="AD360" i="24"/>
  <c r="AD361" i="24"/>
  <c r="AD362" i="24"/>
  <c r="AD363" i="24"/>
  <c r="AD364" i="24"/>
  <c r="AD365" i="24"/>
  <c r="AD366" i="24"/>
  <c r="AD367" i="24"/>
  <c r="AD368" i="24"/>
  <c r="AD369" i="24"/>
  <c r="AD370" i="24"/>
  <c r="AD371" i="24"/>
  <c r="AD372" i="24"/>
  <c r="AD373" i="24"/>
  <c r="AD374" i="24"/>
  <c r="AD375" i="24"/>
  <c r="AD376" i="24"/>
  <c r="AD377" i="24"/>
  <c r="AD378" i="24"/>
  <c r="AD379" i="24"/>
  <c r="AD380" i="24"/>
  <c r="AD381" i="24"/>
  <c r="AD382" i="24"/>
  <c r="AD383" i="24"/>
  <c r="AD384" i="24"/>
  <c r="AD385" i="24"/>
  <c r="AD386" i="24"/>
  <c r="AD387" i="24"/>
  <c r="AD388" i="24"/>
  <c r="AD389" i="24"/>
  <c r="AD390" i="24"/>
  <c r="AD391" i="24"/>
  <c r="AD392" i="24"/>
  <c r="AD393" i="24"/>
  <c r="AD394" i="24"/>
  <c r="AD395" i="24"/>
  <c r="AD396" i="24"/>
  <c r="AD397" i="24"/>
  <c r="AD398" i="24"/>
  <c r="AD399" i="24"/>
  <c r="AD400" i="24"/>
  <c r="AD401" i="24"/>
  <c r="AD402" i="24"/>
  <c r="AD403" i="24"/>
  <c r="AD404" i="24"/>
  <c r="AD405" i="24"/>
  <c r="AD406" i="24"/>
  <c r="AD407" i="24"/>
  <c r="AD408" i="24"/>
  <c r="AD409" i="24"/>
  <c r="AD410" i="24"/>
  <c r="AD411" i="24"/>
  <c r="AD412" i="24"/>
  <c r="AD413" i="24"/>
  <c r="AD414" i="24"/>
  <c r="AD415" i="24"/>
  <c r="AD416" i="24"/>
  <c r="AD417" i="24"/>
  <c r="AD418" i="24"/>
  <c r="AD419" i="24"/>
  <c r="AD420" i="24"/>
  <c r="AD421" i="24"/>
  <c r="AD422" i="24"/>
  <c r="AD423" i="24"/>
  <c r="AD424" i="24"/>
  <c r="AD425" i="24"/>
  <c r="AD426" i="24"/>
  <c r="AD427" i="24"/>
  <c r="AD428" i="24"/>
  <c r="AD429" i="24"/>
  <c r="AD430" i="24"/>
  <c r="AD431" i="24"/>
  <c r="AD432" i="24"/>
  <c r="AD433" i="24"/>
  <c r="AD434" i="24"/>
  <c r="AD435" i="24"/>
  <c r="AD436" i="24"/>
  <c r="AD437" i="24"/>
  <c r="AD438" i="24"/>
  <c r="AD439" i="24"/>
  <c r="AD440" i="24"/>
  <c r="AD441" i="24"/>
  <c r="AD442" i="24"/>
  <c r="AD443" i="24"/>
  <c r="AD444" i="24"/>
  <c r="AD445" i="24"/>
  <c r="AD446" i="24"/>
  <c r="AD447" i="24"/>
  <c r="AD448" i="24"/>
  <c r="AD449" i="24"/>
  <c r="AD450" i="24"/>
  <c r="AD451" i="24"/>
  <c r="AD452" i="24"/>
  <c r="AD453" i="24"/>
  <c r="AD454" i="24"/>
  <c r="AD455" i="24"/>
  <c r="AD456" i="24"/>
  <c r="AD457" i="24"/>
  <c r="AD458" i="24"/>
  <c r="AD459" i="24"/>
  <c r="AD460" i="24"/>
  <c r="AD461" i="24"/>
  <c r="AD462" i="24"/>
  <c r="AD463" i="24"/>
  <c r="AD464" i="24"/>
  <c r="AD465" i="24"/>
  <c r="AD466" i="24"/>
  <c r="AD467" i="24"/>
  <c r="AD468" i="24"/>
  <c r="AD469" i="24"/>
  <c r="AD470" i="24"/>
  <c r="AD471" i="24"/>
  <c r="AD472" i="24"/>
  <c r="AD473" i="24"/>
  <c r="AD474" i="24"/>
  <c r="AD475" i="24"/>
  <c r="AD476" i="24"/>
  <c r="AD477" i="24"/>
  <c r="AD478" i="24"/>
  <c r="AD479" i="24"/>
  <c r="AD480" i="24"/>
  <c r="AD481" i="24"/>
  <c r="AD482" i="24"/>
  <c r="AD483" i="24"/>
  <c r="AD484" i="24"/>
  <c r="AD485" i="24"/>
  <c r="AD486" i="24"/>
  <c r="AD487" i="24"/>
  <c r="AD488" i="24"/>
  <c r="AD489" i="24"/>
  <c r="AD490" i="24"/>
  <c r="AD491" i="24"/>
  <c r="AD492" i="24"/>
  <c r="AD493" i="24"/>
  <c r="AD494" i="24"/>
  <c r="AD495" i="24"/>
  <c r="AD496" i="24"/>
  <c r="AD497" i="24"/>
  <c r="AD498" i="24"/>
  <c r="AD499" i="24"/>
  <c r="AD500" i="24"/>
  <c r="AD6" i="24"/>
  <c r="B19" i="8" l="1"/>
  <c r="D29" i="8"/>
  <c r="B29" i="8"/>
  <c r="C29" i="8"/>
  <c r="D21" i="8"/>
  <c r="B21" i="8"/>
  <c r="C21" i="8"/>
  <c r="C20" i="8"/>
  <c r="D20" i="8"/>
  <c r="D19" i="8"/>
  <c r="B20" i="8"/>
  <c r="C19" i="8"/>
  <c r="AE457" i="24"/>
  <c r="AE453" i="24"/>
  <c r="AE305" i="24"/>
  <c r="AE49" i="24"/>
  <c r="AE497" i="24"/>
  <c r="AE493" i="24"/>
  <c r="AE489" i="24"/>
  <c r="AE485" i="24"/>
  <c r="AE481" i="24"/>
  <c r="AE477" i="24"/>
  <c r="AE473" i="24"/>
  <c r="AE469" i="24"/>
  <c r="AE465" i="24"/>
  <c r="AE461" i="24"/>
  <c r="AE449" i="24"/>
  <c r="AE445" i="24"/>
  <c r="AE441" i="24"/>
  <c r="AE437" i="24"/>
  <c r="AE433" i="24"/>
  <c r="AE325" i="24"/>
  <c r="AE261" i="24"/>
  <c r="AE241" i="24"/>
  <c r="AE197" i="24"/>
  <c r="AE177" i="24"/>
  <c r="AE133" i="24"/>
  <c r="AE113" i="24"/>
  <c r="AE69" i="24"/>
  <c r="AE6" i="24"/>
  <c r="AE492" i="24"/>
  <c r="AE480" i="24"/>
  <c r="AE464" i="24"/>
  <c r="AE452" i="24"/>
  <c r="AE440" i="24"/>
  <c r="AE428" i="24"/>
  <c r="AE416" i="24"/>
  <c r="AE408" i="24"/>
  <c r="AE396" i="24"/>
  <c r="AE384" i="24"/>
  <c r="AE372" i="24"/>
  <c r="AE360" i="24"/>
  <c r="AE352" i="24"/>
  <c r="AE340" i="24"/>
  <c r="AE328" i="24"/>
  <c r="AE320" i="24"/>
  <c r="AE308" i="24"/>
  <c r="AE300" i="24"/>
  <c r="AE288" i="24"/>
  <c r="AE280" i="24"/>
  <c r="AE272" i="24"/>
  <c r="AE260" i="24"/>
  <c r="AE252" i="24"/>
  <c r="AE240" i="24"/>
  <c r="AE228" i="24"/>
  <c r="AE216" i="24"/>
  <c r="AE208" i="24"/>
  <c r="AE196" i="24"/>
  <c r="AE188" i="24"/>
  <c r="AE184" i="24"/>
  <c r="AE176" i="24"/>
  <c r="AE172" i="24"/>
  <c r="AE168" i="24"/>
  <c r="AE164" i="24"/>
  <c r="AE160" i="24"/>
  <c r="AE156" i="24"/>
  <c r="AE152" i="24"/>
  <c r="AE148" i="24"/>
  <c r="AE144" i="24"/>
  <c r="AE140" i="24"/>
  <c r="AE136" i="24"/>
  <c r="AE132" i="24"/>
  <c r="AE128" i="24"/>
  <c r="AE124" i="24"/>
  <c r="AE120" i="24"/>
  <c r="AE116" i="24"/>
  <c r="AE112" i="24"/>
  <c r="AE108" i="24"/>
  <c r="AE104" i="24"/>
  <c r="AE100" i="24"/>
  <c r="AE96" i="24"/>
  <c r="AE92" i="24"/>
  <c r="AE88" i="24"/>
  <c r="AE84" i="24"/>
  <c r="AE80" i="24"/>
  <c r="AE76" i="24"/>
  <c r="AE72" i="24"/>
  <c r="AE68" i="24"/>
  <c r="AE64" i="24"/>
  <c r="AE60" i="24"/>
  <c r="AE56" i="24"/>
  <c r="AE52" i="24"/>
  <c r="AE48" i="24"/>
  <c r="AE44" i="24"/>
  <c r="AE40" i="24"/>
  <c r="AE36" i="24"/>
  <c r="AE32" i="24"/>
  <c r="AE28" i="24"/>
  <c r="AE24" i="24"/>
  <c r="AE20" i="24"/>
  <c r="AE16" i="24"/>
  <c r="AE12" i="24"/>
  <c r="AE8" i="24"/>
  <c r="AE500" i="24"/>
  <c r="AE496" i="24"/>
  <c r="AE488" i="24"/>
  <c r="AE484" i="24"/>
  <c r="AE476" i="24"/>
  <c r="AE472" i="24"/>
  <c r="AE468" i="24"/>
  <c r="AE460" i="24"/>
  <c r="AE456" i="24"/>
  <c r="AE448" i="24"/>
  <c r="AE444" i="24"/>
  <c r="AE436" i="24"/>
  <c r="AE432" i="24"/>
  <c r="AE424" i="24"/>
  <c r="AE420" i="24"/>
  <c r="AE412" i="24"/>
  <c r="AE404" i="24"/>
  <c r="AE400" i="24"/>
  <c r="AE392" i="24"/>
  <c r="AE388" i="24"/>
  <c r="AE380" i="24"/>
  <c r="AE376" i="24"/>
  <c r="AE368" i="24"/>
  <c r="AE364" i="24"/>
  <c r="AE356" i="24"/>
  <c r="AE348" i="24"/>
  <c r="AE344" i="24"/>
  <c r="AE336" i="24"/>
  <c r="AE332" i="24"/>
  <c r="AE324" i="24"/>
  <c r="AE316" i="24"/>
  <c r="AE312" i="24"/>
  <c r="AE304" i="24"/>
  <c r="AE296" i="24"/>
  <c r="AE292" i="24"/>
  <c r="AE284" i="24"/>
  <c r="AE276" i="24"/>
  <c r="AE268" i="24"/>
  <c r="AE264" i="24"/>
  <c r="AE256" i="24"/>
  <c r="AE248" i="24"/>
  <c r="AE244" i="24"/>
  <c r="AE236" i="24"/>
  <c r="AE232" i="24"/>
  <c r="AE224" i="24"/>
  <c r="AE220" i="24"/>
  <c r="AE212" i="24"/>
  <c r="AE204" i="24"/>
  <c r="AE200" i="24"/>
  <c r="AE192" i="24"/>
  <c r="AE180" i="24"/>
  <c r="AE499" i="24"/>
  <c r="AE495" i="24"/>
  <c r="AE491" i="24"/>
  <c r="AE487" i="24"/>
  <c r="AE483" i="24"/>
  <c r="AE479" i="24"/>
  <c r="AE475" i="24"/>
  <c r="AE471" i="24"/>
  <c r="AE467" i="24"/>
  <c r="AE463" i="24"/>
  <c r="AE459" i="24"/>
  <c r="AE455" i="24"/>
  <c r="AE451" i="24"/>
  <c r="AE447" i="24"/>
  <c r="AE443" i="24"/>
  <c r="AE439" i="24"/>
  <c r="AE435" i="24"/>
  <c r="AE431" i="24"/>
  <c r="AE427" i="24"/>
  <c r="AE423" i="24"/>
  <c r="AE419" i="24"/>
  <c r="AE415" i="24"/>
  <c r="AE411" i="24"/>
  <c r="AE407" i="24"/>
  <c r="AE403" i="24"/>
  <c r="AE399" i="24"/>
  <c r="AE395" i="24"/>
  <c r="AE391" i="24"/>
  <c r="AE387" i="24"/>
  <c r="AE383" i="24"/>
  <c r="AE379" i="24"/>
  <c r="AE375" i="24"/>
  <c r="AE371" i="24"/>
  <c r="AE367" i="24"/>
  <c r="AE363" i="24"/>
  <c r="AE359" i="24"/>
  <c r="AE355" i="24"/>
  <c r="AE351" i="24"/>
  <c r="AE347" i="24"/>
  <c r="AE343" i="24"/>
  <c r="AE339" i="24"/>
  <c r="AE335" i="24"/>
  <c r="AE331" i="24"/>
  <c r="AE327" i="24"/>
  <c r="AE323" i="24"/>
  <c r="AE319" i="24"/>
  <c r="AE315" i="24"/>
  <c r="AE311" i="24"/>
  <c r="AE307" i="24"/>
  <c r="AE303" i="24"/>
  <c r="AE299" i="24"/>
  <c r="AE295" i="24"/>
  <c r="AE291" i="24"/>
  <c r="AE287" i="24"/>
  <c r="AE283" i="24"/>
  <c r="AE279" i="24"/>
  <c r="AE275" i="24"/>
  <c r="AE271" i="24"/>
  <c r="AE267" i="24"/>
  <c r="AE263" i="24"/>
  <c r="AE259" i="24"/>
  <c r="AE255" i="24"/>
  <c r="AE251" i="24"/>
  <c r="AE247" i="24"/>
  <c r="AE243" i="24"/>
  <c r="AE239" i="24"/>
  <c r="AE235" i="24"/>
  <c r="AE231" i="24"/>
  <c r="AE227" i="24"/>
  <c r="AE223" i="24"/>
  <c r="AE219" i="24"/>
  <c r="AE215" i="24"/>
  <c r="AE211" i="24"/>
  <c r="AE207" i="24"/>
  <c r="AE203" i="24"/>
  <c r="AE199" i="24"/>
  <c r="AE195" i="24"/>
  <c r="AE191" i="24"/>
  <c r="AE187" i="24"/>
  <c r="AE183" i="24"/>
  <c r="AE179" i="24"/>
  <c r="AE175" i="24"/>
  <c r="AE171" i="24"/>
  <c r="AE167" i="24"/>
  <c r="AE163" i="24"/>
  <c r="AE159" i="24"/>
  <c r="AE155" i="24"/>
  <c r="AE151" i="24"/>
  <c r="AE147" i="24"/>
  <c r="AE143" i="24"/>
  <c r="AE139" i="24"/>
  <c r="AE135" i="24"/>
  <c r="AE131" i="24"/>
  <c r="AE127" i="24"/>
  <c r="AE123" i="24"/>
  <c r="AE119" i="24"/>
  <c r="AE115" i="24"/>
  <c r="AE111" i="24"/>
  <c r="AE107" i="24"/>
  <c r="AE103" i="24"/>
  <c r="AE99" i="24"/>
  <c r="AE95" i="24"/>
  <c r="AE91" i="24"/>
  <c r="AE87" i="24"/>
  <c r="AE83" i="24"/>
  <c r="AE79" i="24"/>
  <c r="AE75" i="24"/>
  <c r="AE71" i="24"/>
  <c r="AE67" i="24"/>
  <c r="AE63" i="24"/>
  <c r="AE59" i="24"/>
  <c r="AE55" i="24"/>
  <c r="AE51" i="24"/>
  <c r="AE47" i="24"/>
  <c r="AE43" i="24"/>
  <c r="AE39" i="24"/>
  <c r="AE35" i="24"/>
  <c r="AE31" i="24"/>
  <c r="AE27" i="24"/>
  <c r="AE23" i="24"/>
  <c r="AE19" i="24"/>
  <c r="AE15" i="24"/>
  <c r="AE11" i="24"/>
  <c r="AE7" i="24"/>
  <c r="AE498" i="24"/>
  <c r="AE494" i="24"/>
  <c r="AE490" i="24"/>
  <c r="AE486" i="24"/>
  <c r="AE482" i="24"/>
  <c r="AE478" i="24"/>
  <c r="AE474" i="24"/>
  <c r="AE470" i="24"/>
  <c r="AE466" i="24"/>
  <c r="AE462" i="24"/>
  <c r="AE458" i="24"/>
  <c r="AE454" i="24"/>
  <c r="AE450" i="24"/>
  <c r="AE446" i="24"/>
  <c r="AE442" i="24"/>
  <c r="AE438" i="24"/>
  <c r="AE434" i="24"/>
  <c r="AE430" i="24"/>
  <c r="AE426" i="24"/>
  <c r="AE422" i="24"/>
  <c r="AE418" i="24"/>
  <c r="AE414" i="24"/>
  <c r="AE410" i="24"/>
  <c r="AE406" i="24"/>
  <c r="AE402" i="24"/>
  <c r="AE398" i="24"/>
  <c r="AE394" i="24"/>
  <c r="AE390" i="24"/>
  <c r="AE386" i="24"/>
  <c r="AE382" i="24"/>
  <c r="AE378" i="24"/>
  <c r="AE374" i="24"/>
  <c r="AE370" i="24"/>
  <c r="AE366" i="24"/>
  <c r="AE362" i="24"/>
  <c r="AE358" i="24"/>
  <c r="AE354" i="24"/>
  <c r="AE350" i="24"/>
  <c r="AE346" i="24"/>
  <c r="AE342" i="24"/>
  <c r="AE338" i="24"/>
  <c r="AE334" i="24"/>
  <c r="AE429" i="24"/>
  <c r="AE425" i="24"/>
  <c r="AE421" i="24"/>
  <c r="AE417" i="24"/>
  <c r="AE413" i="24"/>
  <c r="AE409" i="24"/>
  <c r="AE405" i="24"/>
  <c r="AE401" i="24"/>
  <c r="AE397" i="24"/>
  <c r="AE393" i="24"/>
  <c r="AE389" i="24"/>
  <c r="AE385" i="24"/>
  <c r="AE381" i="24"/>
  <c r="AE377" i="24"/>
  <c r="AE373" i="24"/>
  <c r="AE369" i="24"/>
  <c r="AE365" i="24"/>
  <c r="AE361" i="24"/>
  <c r="AE330" i="24"/>
  <c r="AE326" i="24"/>
  <c r="AE322" i="24"/>
  <c r="AE318" i="24"/>
  <c r="AE314" i="24"/>
  <c r="AE310" i="24"/>
  <c r="AE306" i="24"/>
  <c r="AE302" i="24"/>
  <c r="AE298" i="24"/>
  <c r="AE294" i="24"/>
  <c r="AE290" i="24"/>
  <c r="AE286" i="24"/>
  <c r="AE282" i="24"/>
  <c r="AE278" i="24"/>
  <c r="AE274" i="24"/>
  <c r="AE270" i="24"/>
  <c r="AE266" i="24"/>
  <c r="AE262" i="24"/>
  <c r="AE258" i="24"/>
  <c r="AE254" i="24"/>
  <c r="AE250" i="24"/>
  <c r="AE246" i="24"/>
  <c r="AE242" i="24"/>
  <c r="AE238" i="24"/>
  <c r="AE234" i="24"/>
  <c r="AE230" i="24"/>
  <c r="AE226" i="24"/>
  <c r="AE222" i="24"/>
  <c r="AE218" i="24"/>
  <c r="AE214" i="24"/>
  <c r="AE210" i="24"/>
  <c r="AE206" i="24"/>
  <c r="AE202" i="24"/>
  <c r="AE198" i="24"/>
  <c r="AE194" i="24"/>
  <c r="AE190" i="24"/>
  <c r="AE186" i="24"/>
  <c r="AE182" i="24"/>
  <c r="AE178" i="24"/>
  <c r="AE174" i="24"/>
  <c r="AE170" i="24"/>
  <c r="AE166" i="24"/>
  <c r="AE162" i="24"/>
  <c r="AE158" i="24"/>
  <c r="AE154" i="24"/>
  <c r="AE150" i="24"/>
  <c r="AE146" i="24"/>
  <c r="AE142" i="24"/>
  <c r="AE138" i="24"/>
  <c r="AE134" i="24"/>
  <c r="AE130" i="24"/>
  <c r="AE126" i="24"/>
  <c r="AE122" i="24"/>
  <c r="AE118" i="24"/>
  <c r="AE114" i="24"/>
  <c r="AE110" i="24"/>
  <c r="AE106" i="24"/>
  <c r="AE102" i="24"/>
  <c r="AE98" i="24"/>
  <c r="AE94" i="24"/>
  <c r="AE90" i="24"/>
  <c r="AE86" i="24"/>
  <c r="AE82" i="24"/>
  <c r="AE78" i="24"/>
  <c r="AE74" i="24"/>
  <c r="AE70" i="24"/>
  <c r="AE66" i="24"/>
  <c r="AE62" i="24"/>
  <c r="AE58" i="24"/>
  <c r="AE54" i="24"/>
  <c r="AE50" i="24"/>
  <c r="AE46" i="24"/>
  <c r="AE42" i="24"/>
  <c r="AE38" i="24"/>
  <c r="AE34" i="24"/>
  <c r="AE30" i="24"/>
  <c r="AE26" i="24"/>
  <c r="AE22" i="24"/>
  <c r="AE18" i="24"/>
  <c r="AE14" i="24"/>
  <c r="AE10" i="24"/>
  <c r="AE357" i="24"/>
  <c r="AE353" i="24"/>
  <c r="AE349" i="24"/>
  <c r="AE345" i="24"/>
  <c r="AE341" i="24"/>
  <c r="AE337" i="24"/>
  <c r="AE333" i="24"/>
  <c r="AE329" i="24"/>
  <c r="AE321" i="24"/>
  <c r="AE317" i="24"/>
  <c r="AE313" i="24"/>
  <c r="AE309" i="24"/>
  <c r="AE301" i="24"/>
  <c r="AE297" i="24"/>
  <c r="AE293" i="24"/>
  <c r="AE289" i="24"/>
  <c r="AE285" i="24"/>
  <c r="AE281" i="24"/>
  <c r="AE277" i="24"/>
  <c r="AE273" i="24"/>
  <c r="AE269" i="24"/>
  <c r="AE265" i="24"/>
  <c r="AE257" i="24"/>
  <c r="AE253" i="24"/>
  <c r="AE249" i="24"/>
  <c r="AE245" i="24"/>
  <c r="AE237" i="24"/>
  <c r="AE233" i="24"/>
  <c r="AE229" i="24"/>
  <c r="AE225" i="24"/>
  <c r="AE221" i="24"/>
  <c r="AE217" i="24"/>
  <c r="AE213" i="24"/>
  <c r="AE209" i="24"/>
  <c r="AE205" i="24"/>
  <c r="AE201" i="24"/>
  <c r="AE193" i="24"/>
  <c r="AE189" i="24"/>
  <c r="AE185" i="24"/>
  <c r="AE181" i="24"/>
  <c r="AE173" i="24"/>
  <c r="AE169" i="24"/>
  <c r="AE165" i="24"/>
  <c r="AE161" i="24"/>
  <c r="AE157" i="24"/>
  <c r="AE153" i="24"/>
  <c r="AE149" i="24"/>
  <c r="AE145" i="24"/>
  <c r="AE141" i="24"/>
  <c r="AE137" i="24"/>
  <c r="AE129" i="24"/>
  <c r="AE125" i="24"/>
  <c r="AE121" i="24"/>
  <c r="AE117" i="24"/>
  <c r="AE109" i="24"/>
  <c r="AE105" i="24"/>
  <c r="AE101" i="24"/>
  <c r="AE97" i="24"/>
  <c r="AE93" i="24"/>
  <c r="AE89" i="24"/>
  <c r="AE85" i="24"/>
  <c r="AE81" i="24"/>
  <c r="AE77" i="24"/>
  <c r="AE73" i="24"/>
  <c r="AE65" i="24"/>
  <c r="AE61" i="24"/>
  <c r="AE57" i="24"/>
  <c r="AE53" i="24"/>
  <c r="AE45" i="24"/>
  <c r="AE41" i="24"/>
  <c r="AE37" i="24"/>
  <c r="AE33" i="24"/>
  <c r="AE29" i="24"/>
  <c r="AE25" i="24"/>
  <c r="AE21" i="24"/>
  <c r="AE17" i="24"/>
  <c r="AE13" i="24"/>
  <c r="AE9" i="24"/>
  <c r="B9" i="8"/>
  <c r="B10" i="8"/>
  <c r="B11" i="8"/>
  <c r="B12" i="8"/>
  <c r="B13" i="8"/>
  <c r="B14" i="8"/>
  <c r="B8" i="8"/>
  <c r="B3" i="8"/>
  <c r="B2" i="8"/>
  <c r="E29" i="8" l="1"/>
  <c r="B26" i="8"/>
  <c r="B25" i="8"/>
  <c r="C26" i="8"/>
  <c r="C25" i="8"/>
  <c r="D26" i="8"/>
  <c r="D25" i="8"/>
  <c r="B15" i="8"/>
  <c r="B4" i="8"/>
  <c r="E26" i="8" l="1"/>
  <c r="E21" i="8"/>
  <c r="E25" i="8"/>
  <c r="E20" i="8"/>
  <c r="E19" i="8" l="1"/>
</calcChain>
</file>

<file path=xl/sharedStrings.xml><?xml version="1.0" encoding="utf-8"?>
<sst xmlns="http://schemas.openxmlformats.org/spreadsheetml/2006/main" count="358" uniqueCount="294">
  <si>
    <t>SPONSOR:</t>
  </si>
  <si>
    <t xml:space="preserve">PROTOCOL: </t>
  </si>
  <si>
    <t xml:space="preserve">CPM - </t>
  </si>
  <si>
    <t>Country</t>
  </si>
  <si>
    <t>Site 
Number</t>
  </si>
  <si>
    <t>Investigator Name</t>
  </si>
  <si>
    <t>Patient Number</t>
  </si>
  <si>
    <t>Gender</t>
  </si>
  <si>
    <t xml:space="preserve">Year of Birth
(yyyy) </t>
  </si>
  <si>
    <t>Visit</t>
  </si>
  <si>
    <t xml:space="preserve">Value </t>
  </si>
  <si>
    <t>Baseline
 Value</t>
  </si>
  <si>
    <t>Flagging/Toxicity Grading if applicable</t>
  </si>
  <si>
    <t>Alerts</t>
  </si>
  <si>
    <t>Outcome</t>
  </si>
  <si>
    <t>Contacted By
(MSS Name)</t>
  </si>
  <si>
    <t xml:space="preserve">First contact on (dd-mmm-yy) </t>
  </si>
  <si>
    <t>Clinically not significant</t>
  </si>
  <si>
    <t>Clinically significant</t>
  </si>
  <si>
    <t>Screen failed</t>
  </si>
  <si>
    <t>Age of the Open Site contact</t>
  </si>
  <si>
    <t xml:space="preserve">Last Follow-up on(dd-mmm-yy)  </t>
  </si>
  <si>
    <t>Age from Last Follow-up</t>
  </si>
  <si>
    <t>Resolution/Closure Date (dd-mmm-yy)</t>
  </si>
  <si>
    <t>No. of times Follow-up done</t>
  </si>
  <si>
    <t>Comments</t>
  </si>
  <si>
    <t>Critical</t>
  </si>
  <si>
    <t>Non-Critical</t>
  </si>
  <si>
    <t>TMA Guidance sought</t>
  </si>
  <si>
    <t>Escalated to TMA/CPM</t>
  </si>
  <si>
    <t>Awaiting re-test results</t>
  </si>
  <si>
    <t>Awaiting consultant opinion</t>
  </si>
  <si>
    <t>Grand Total</t>
  </si>
  <si>
    <t>Age of the Query</t>
  </si>
  <si>
    <t>Unit</t>
  </si>
  <si>
    <t>No of open
queries ≥ 60 days</t>
  </si>
  <si>
    <t>No of open
queries &lt; 30 days</t>
  </si>
  <si>
    <t>Total</t>
  </si>
  <si>
    <t xml:space="preserve">Count of the Open Queries </t>
  </si>
  <si>
    <t>Age of the queries &gt;=15 and &lt;=30</t>
  </si>
  <si>
    <t>Age of the queries &gt;=30</t>
  </si>
  <si>
    <t>Age from last follow ups</t>
  </si>
  <si>
    <t>&lt;=60</t>
  </si>
  <si>
    <t xml:space="preserve"> Status</t>
  </si>
  <si>
    <t>Reason For Open Query</t>
  </si>
  <si>
    <t>Status</t>
  </si>
  <si>
    <t>Open</t>
  </si>
  <si>
    <t>Closed</t>
  </si>
  <si>
    <t>Age of the queries &gt;=5</t>
  </si>
  <si>
    <t xml:space="preserve"> Reason for open queries</t>
  </si>
  <si>
    <t xml:space="preserve"> Reason for Outcome</t>
  </si>
  <si>
    <t>Awaiting Response</t>
  </si>
  <si>
    <t>Awaiting Patient Status report</t>
  </si>
  <si>
    <t>Internal</t>
  </si>
  <si>
    <t>External</t>
  </si>
  <si>
    <t>Reason of open queries</t>
  </si>
  <si>
    <t>Count</t>
  </si>
  <si>
    <t>Parameters</t>
  </si>
  <si>
    <t>Open Query_
Internal/External factors</t>
  </si>
  <si>
    <t>Task</t>
  </si>
  <si>
    <t>Resolution</t>
  </si>
  <si>
    <t>Spreadsheet naming convention:</t>
  </si>
  <si>
    <t>How to create a new spreadsheet in SharePoint.
Version and access controls have been established within SharePoint giving edit right only to members of Medical Services.</t>
  </si>
  <si>
    <t>How to modify footer</t>
  </si>
  <si>
    <t>Please do not change the column titles as this must be validated through our compliance office.</t>
  </si>
  <si>
    <t>QA requirement.</t>
  </si>
  <si>
    <t xml:space="preserve">To add a new line within a cell </t>
  </si>
  <si>
    <t>Press ALT/Enter</t>
  </si>
  <si>
    <t>Each analyte should be on a new line to add in searchablilty</t>
  </si>
  <si>
    <r>
      <rPr>
        <b/>
        <sz val="11"/>
        <rFont val="Arial"/>
        <family val="2"/>
      </rPr>
      <t xml:space="preserve"> Do not merge</t>
    </r>
    <r>
      <rPr>
        <sz val="11"/>
        <rFont val="Arial"/>
        <family val="2"/>
      </rPr>
      <t xml:space="preserve"> the contact report section as searching function on
 creation of summary tables on medical meetings is lost. </t>
    </r>
  </si>
  <si>
    <t>Dates should stay in dd-mmm-yy format.  Do not change.</t>
  </si>
  <si>
    <t>Highlight cell; Select Home Tab; Select Number; Select Format Cells; Select Number; Date; 14-Mar-01</t>
  </si>
  <si>
    <t>To copy a format from one cell to another (i.e., copying numeric decimal format easily)</t>
  </si>
  <si>
    <t xml:space="preserve">Highlight cell you want to copy; select paint brush; select new cell </t>
  </si>
  <si>
    <t xml:space="preserve">The analyte value default is whole number so you will need to add decimal places as needed.
To create correct format for the numeric values, i.e., ALT = whole number, HbA1c = 1 decimal place, creat = 2 decimal places)  
</t>
  </si>
  <si>
    <t>Highlight cell; Select Home Tab; Select Number; Select Format Cells; Select Number; Decimal Places (change for the appropriate value) 
or 
Highlight cell; Select Home Tab; Go to Number box and select left arrow with .0.00 and this will add decimals to the value.</t>
  </si>
  <si>
    <t>Drop down List</t>
  </si>
  <si>
    <t>DO NOT DELETE ANY ROWS</t>
  </si>
  <si>
    <t>As drop down lists data is put in the further end, deletion of any rows will impact the drop down list. Do not delete any rows, in case data has to be deleted, please use clear contents function by selecting only the affected relevant cells</t>
  </si>
  <si>
    <t>Acronym</t>
  </si>
  <si>
    <t>Meaning</t>
  </si>
  <si>
    <t>A/A or AA</t>
  </si>
  <si>
    <t>African American</t>
  </si>
  <si>
    <t>AE</t>
  </si>
  <si>
    <t>b/c</t>
  </si>
  <si>
    <t>BID</t>
  </si>
  <si>
    <t>cc</t>
  </si>
  <si>
    <t>conmeds</t>
  </si>
  <si>
    <t>CPM</t>
  </si>
  <si>
    <t>Clinical Project Manager</t>
  </si>
  <si>
    <t>CRA</t>
  </si>
  <si>
    <t>Clinical Research Associate</t>
  </si>
  <si>
    <t>CRF</t>
  </si>
  <si>
    <t>Case Report/Record Form</t>
  </si>
  <si>
    <t>CS</t>
  </si>
  <si>
    <t>CTA</t>
  </si>
  <si>
    <t>d/c</t>
  </si>
  <si>
    <t>dc’d</t>
  </si>
  <si>
    <t>DM</t>
  </si>
  <si>
    <t>Diabetic/Diabetes Mellitus</t>
  </si>
  <si>
    <t>DVT</t>
  </si>
  <si>
    <t>Deep Venous Thrombosis</t>
  </si>
  <si>
    <t>Dx</t>
  </si>
  <si>
    <t>Diagnosis</t>
  </si>
  <si>
    <t>ET</t>
  </si>
  <si>
    <t>Early Termination</t>
  </si>
  <si>
    <t>f/u</t>
  </si>
  <si>
    <t>HTN</t>
  </si>
  <si>
    <t>Hx</t>
  </si>
  <si>
    <t>History</t>
  </si>
  <si>
    <t>INV</t>
  </si>
  <si>
    <t>IRB</t>
  </si>
  <si>
    <t>Institutional Review Board</t>
  </si>
  <si>
    <t>IVRS</t>
  </si>
  <si>
    <t>Interactive Voice Response System</t>
  </si>
  <si>
    <t>LFT</t>
  </si>
  <si>
    <t>LLN</t>
  </si>
  <si>
    <t>Left VM</t>
  </si>
  <si>
    <t>LVM</t>
  </si>
  <si>
    <t>LTFU</t>
  </si>
  <si>
    <t>MM</t>
  </si>
  <si>
    <t>Medical Monitor</t>
  </si>
  <si>
    <t>Monitor</t>
  </si>
  <si>
    <t>NCS</t>
  </si>
  <si>
    <t>NMS</t>
  </si>
  <si>
    <t>Neuroleptic Malignancy Syndrome</t>
  </si>
  <si>
    <t>NPAT</t>
  </si>
  <si>
    <t>PK</t>
  </si>
  <si>
    <t>pt</t>
  </si>
  <si>
    <t>PCP</t>
  </si>
  <si>
    <t>PH</t>
  </si>
  <si>
    <t>Panic High</t>
  </si>
  <si>
    <t>PL</t>
  </si>
  <si>
    <t>Panic Low</t>
  </si>
  <si>
    <t>PI</t>
  </si>
  <si>
    <t>QD</t>
  </si>
  <si>
    <t>Once per day</t>
  </si>
  <si>
    <t>QTc</t>
  </si>
  <si>
    <t>QW</t>
  </si>
  <si>
    <t>Once per week</t>
  </si>
  <si>
    <t>S/F</t>
  </si>
  <si>
    <t>Screen/Fail</t>
  </si>
  <si>
    <t>s/sx</t>
  </si>
  <si>
    <t>SAE</t>
  </si>
  <si>
    <t>sc</t>
  </si>
  <si>
    <t>TBD</t>
  </si>
  <si>
    <t>TH</t>
  </si>
  <si>
    <t>Telephone High</t>
  </si>
  <si>
    <t>TL</t>
  </si>
  <si>
    <t>Telephone Low</t>
  </si>
  <si>
    <t>TMA</t>
  </si>
  <si>
    <t>Therapeutic Medical Advisor</t>
  </si>
  <si>
    <t>Tx</t>
  </si>
  <si>
    <t>TNTC</t>
  </si>
  <si>
    <t>ULN</t>
  </si>
  <si>
    <t>URI</t>
  </si>
  <si>
    <t>Upper Respiratory Infection</t>
  </si>
  <si>
    <t>UTI</t>
  </si>
  <si>
    <t>WNL</t>
  </si>
  <si>
    <t>WRR</t>
  </si>
  <si>
    <t>Lab reviewed on (dd-mmm-yy)</t>
  </si>
  <si>
    <r>
      <t>MSS Activities begun on</t>
    </r>
    <r>
      <rPr>
        <b/>
        <i/>
        <sz val="12"/>
        <color rgb="FF0000FF"/>
        <rFont val="Arial"/>
        <family val="2"/>
      </rPr>
      <t>(dd-mmm-yyyy)</t>
    </r>
    <r>
      <rPr>
        <b/>
        <sz val="12"/>
        <color rgb="FF0000FF"/>
        <rFont val="Arial"/>
        <family val="2"/>
      </rPr>
      <t xml:space="preserve">: 
(comments if any)
</t>
    </r>
  </si>
  <si>
    <t>&gt;0</t>
  </si>
  <si>
    <t>First Follow up
Date(dd-mmm-yy)</t>
  </si>
  <si>
    <t>Second Follow up
Date(dd-mmm-yy)</t>
  </si>
  <si>
    <t>Adverse Event</t>
  </si>
  <si>
    <t>Because</t>
  </si>
  <si>
    <t>Twice A Day</t>
  </si>
  <si>
    <t>Concomitant</t>
  </si>
  <si>
    <t>Concomitant Medication</t>
  </si>
  <si>
    <t>Clinically Significant</t>
  </si>
  <si>
    <t>Discontinue</t>
  </si>
  <si>
    <t>Discontinued</t>
  </si>
  <si>
    <t>Follow-Up</t>
  </si>
  <si>
    <t>Hypertension</t>
  </si>
  <si>
    <t>Investigator</t>
  </si>
  <si>
    <t>Liver Function Test</t>
  </si>
  <si>
    <t>Lower Limit Of Normal Range</t>
  </si>
  <si>
    <t>Left Message/Voice Message</t>
  </si>
  <si>
    <t>Left Voice Mail</t>
  </si>
  <si>
    <t>Lost To Follow-Up</t>
  </si>
  <si>
    <t>Not Clinically Significant</t>
  </si>
  <si>
    <t>Non Protocol Additional Test</t>
  </si>
  <si>
    <t>Pharmokinetic</t>
  </si>
  <si>
    <t>Patient</t>
  </si>
  <si>
    <t>Primary Care Physician</t>
  </si>
  <si>
    <t>Principal Investigator</t>
  </si>
  <si>
    <t>Interval On ECG</t>
  </si>
  <si>
    <t>Signs/Symptoms</t>
  </si>
  <si>
    <t>Serious Adverse Event</t>
  </si>
  <si>
    <t>Study Coordinator</t>
  </si>
  <si>
    <t>To Be Determined</t>
  </si>
  <si>
    <t>Treatment</t>
  </si>
  <si>
    <t>Too Numerous Too Count</t>
  </si>
  <si>
    <t>Upper Limit Of Normal Range</t>
  </si>
  <si>
    <t>Urinary Tract Infection</t>
  </si>
  <si>
    <t>Within Normal Limits</t>
  </si>
  <si>
    <t>Within Reference Range</t>
  </si>
  <si>
    <t>Following up of values until normalization</t>
  </si>
  <si>
    <t>Escalated to CPM/informed TMA (dd-mmm-yy)</t>
  </si>
  <si>
    <t xml:space="preserve"> Specimen Collection Date (dd-mmm-yy)</t>
  </si>
  <si>
    <t>Contact Report Information (To add a new line, press ALT/Enter)</t>
  </si>
  <si>
    <t>Moved to eTMF (dd-mmm-yy)</t>
  </si>
  <si>
    <t>&lt;=30</t>
  </si>
  <si>
    <t>No of open queries ≥ 30 days and &lt;=60</t>
  </si>
  <si>
    <t>Open Query_Internal/
External factors</t>
  </si>
  <si>
    <t>Medical Advisor:</t>
  </si>
  <si>
    <t>dd-mmm-yyyy :</t>
  </si>
  <si>
    <t>For instructions with screen shots:  Go to MSS Contact Report Spreadsheet SharePoint (https://quintiles.sharepoint.com/sites/MSS_Contact_Report_Spread_Sheet/SitePages/Home.aspx) &gt; Documents &gt;  Open "MSS Contact Report Spreadsheets Instructions" in Sharepoint &gt;</t>
  </si>
  <si>
    <t>Clinical Site Monitor/CRA (on-site or in-house)</t>
  </si>
  <si>
    <t>IQVIA</t>
  </si>
  <si>
    <t>IQVIA MA</t>
  </si>
  <si>
    <t>IQVIA Medical Advisor</t>
  </si>
  <si>
    <t>IQVIA MSS</t>
  </si>
  <si>
    <t>IQVIA Medical  Surveillance Specialist</t>
  </si>
  <si>
    <t>IQVIA – Clinical Trial Associate</t>
  </si>
  <si>
    <t>Site number</t>
  </si>
  <si>
    <t>Subject number</t>
  </si>
  <si>
    <t>PI name</t>
  </si>
  <si>
    <t>Screening date</t>
  </si>
  <si>
    <t>Internal Due date (+10 days)</t>
  </si>
  <si>
    <t>Due date for randomization</t>
  </si>
  <si>
    <t>Details on Lab Data Availability</t>
  </si>
  <si>
    <t>Lab Data Availability</t>
  </si>
  <si>
    <t>Lab data details</t>
  </si>
  <si>
    <t>All Responses Received for Lab Queries from site</t>
  </si>
  <si>
    <t>Details on ECG Data availability</t>
  </si>
  <si>
    <t>ECG Data availability</t>
  </si>
  <si>
    <t>ECG data Details</t>
  </si>
  <si>
    <t>All Responses Received for ECG Queries from site</t>
  </si>
  <si>
    <t>MSS Final Eligibilty approval Status</t>
  </si>
  <si>
    <t>Date of Approval/rejection mail to CM</t>
  </si>
  <si>
    <t>Eligibility Review Tracker (to be retained if scoped for eligibility review in the study)</t>
  </si>
  <si>
    <t>Instructions:</t>
  </si>
  <si>
    <t xml:space="preserve">Country: </t>
  </si>
  <si>
    <t>Site Number:</t>
  </si>
  <si>
    <t xml:space="preserve">Subject Number: </t>
  </si>
  <si>
    <t xml:space="preserve">PI Name: </t>
  </si>
  <si>
    <t>Screening Date:</t>
  </si>
  <si>
    <t xml:space="preserve">Internal cutoff date: </t>
  </si>
  <si>
    <t xml:space="preserve">Due date for Randomization: </t>
  </si>
  <si>
    <t xml:space="preserve">The below mentioned tabs to be added and modified based on the scope: </t>
  </si>
  <si>
    <t>Based on the Scope Lab data/ECG data/CSSR data/ conmeds/medical history /any additional scope the below headers can be modified and added to the tracker</t>
  </si>
  <si>
    <t xml:space="preserve">Data Availability: </t>
  </si>
  <si>
    <t xml:space="preserve">Data details:  </t>
  </si>
  <si>
    <t xml:space="preserve">All responses received from Site: </t>
  </si>
  <si>
    <t>Approval Status Tracking:</t>
  </si>
  <si>
    <t>The subject can be approved only after data availability tab is marked “Complete” and all response received from site tab is marked “Yes”. (Can be modified by the lead on study basis)</t>
  </si>
  <si>
    <t xml:space="preserve">MSS Final eligibility Status:  </t>
  </si>
  <si>
    <t xml:space="preserve">Date of Approval Mail Sent: </t>
  </si>
  <si>
    <t>Comments:</t>
  </si>
  <si>
    <t>THE CONTENTS OF COLUMNS WITH HEADERS IN 'GREEN' TO BE SHARED WITH IQVIA STUDY TEAM</t>
  </si>
  <si>
    <t>For studies scoped for additional (eg.C-SSRS, conmeds, medical history) reviews, additional columns can be introducted from Column-O onwards at start-up</t>
  </si>
  <si>
    <r>
      <rPr>
        <b/>
        <sz val="11"/>
        <rFont val="Arial"/>
        <family val="2"/>
      </rPr>
      <t>This footer information must be retained in the protocol specific spreadsheet:</t>
    </r>
    <r>
      <rPr>
        <sz val="11"/>
        <rFont val="Arial"/>
        <family val="2"/>
      </rPr>
      <t xml:space="preserve">
</t>
    </r>
    <r>
      <rPr>
        <b/>
        <sz val="11"/>
        <rFont val="Arial"/>
        <family val="2"/>
      </rPr>
      <t xml:space="preserve">CS_TP_MS00_ Revision X
Effective Date: dd mmm yyyy
</t>
    </r>
  </si>
  <si>
    <t>Enter the Country of the Screened subject</t>
  </si>
  <si>
    <t>Enter the Site Number of the Screened subject</t>
  </si>
  <si>
    <t>Enter the Subject number of the Screened subject</t>
  </si>
  <si>
    <t>Enter the PI name for the site</t>
  </si>
  <si>
    <t>Enter the Screening date of the Screened subject. Screening date can be obtained from the centralized monitor, or EDC notification etc. This needs to be set up during start up</t>
  </si>
  <si>
    <t>This date must be determined by the lead based on the screening Period. For Ex: if Screening Period is 28 days. Internal cut off date can be kept approximately 10 days. Primary should follow up an any missing data by this date</t>
  </si>
  <si>
    <t>This date can be obtained from the Clinical Monitor or any centralized tracker maintained by the clinical team or it can be screening date plus screening period</t>
  </si>
  <si>
    <t>This tab is to keep a check on completeness of the report. This can be marked either Complete (all required data for review of eligibility are available) or incomplete (if data is missing or cancelled). An incomplete status would require follow up until the status is changed to complete</t>
  </si>
  <si>
    <t>All the details regarding the respective Lab/ECG/additional scope need to be tracked here (Parameters queried to site, Missing sample tracking etc.)</t>
  </si>
  <si>
    <t>This must be marked either Yes/No based on the response received from the site</t>
  </si>
  <si>
    <t>Mark Approved or Rejected Based on Review</t>
  </si>
  <si>
    <t>Track the date of approval mail sent</t>
  </si>
  <si>
    <t>Columns W to AI (Greyed Columns)  are for INTERNAL PURPOSES ONLY; Share a copy of the Contact Report Sheet without these columns to stakeholders</t>
  </si>
  <si>
    <t>M</t>
  </si>
  <si>
    <t>LAB</t>
  </si>
  <si>
    <t>Retest- normal/acceptable results</t>
  </si>
  <si>
    <t>F</t>
  </si>
  <si>
    <t>ECG</t>
  </si>
  <si>
    <t>Withdrawn from study</t>
  </si>
  <si>
    <t>Associated With AE/SAE</t>
  </si>
  <si>
    <t>Study drug interrupted</t>
  </si>
  <si>
    <t>Change in study  drug dose</t>
  </si>
  <si>
    <t>Associated With Medical History</t>
  </si>
  <si>
    <t>Due to disease progression</t>
  </si>
  <si>
    <t>NA</t>
  </si>
  <si>
    <r>
      <t>Sample format:</t>
    </r>
    <r>
      <rPr>
        <sz val="11"/>
        <rFont val="Arial"/>
        <family val="2"/>
      </rPr>
      <t xml:space="preserve"> sponsor_protocol number_Lab and ECG Contact Report Spreadsheet</t>
    </r>
    <r>
      <rPr>
        <b/>
        <sz val="11"/>
        <rFont val="Arial"/>
        <family val="2"/>
      </rPr>
      <t xml:space="preserve"> </t>
    </r>
  </si>
  <si>
    <t>The drop down lists are currently available for Gender, Lab/ECG,Alerts, Status,Reason For Open Query,Outcome,Reason for outcome.
Please select one option from the list provided for the dropdown.</t>
  </si>
  <si>
    <r>
      <t>1.0</t>
    </r>
    <r>
      <rPr>
        <b/>
        <sz val="12"/>
        <rFont val="Times New Roman"/>
        <family val="1"/>
      </rPr>
      <t xml:space="preserve">      </t>
    </r>
    <r>
      <rPr>
        <b/>
        <sz val="12"/>
        <rFont val="Arial"/>
        <family val="2"/>
      </rPr>
      <t>INSTRUCTIONS</t>
    </r>
  </si>
  <si>
    <t>Region</t>
  </si>
  <si>
    <t>Dataset</t>
  </si>
  <si>
    <t>Panel</t>
  </si>
  <si>
    <t>Parameter</t>
  </si>
  <si>
    <t>Reference Range ULN</t>
  </si>
  <si>
    <t>Reference Range LLN</t>
  </si>
  <si>
    <t>Type of Alerts</t>
  </si>
  <si>
    <t>Alert Criteria</t>
  </si>
  <si>
    <t xml:space="preserve"> Instructions for using the spreadsheet are given below:</t>
  </si>
  <si>
    <r>
      <rPr>
        <b/>
        <u/>
        <sz val="12"/>
        <color rgb="FFFF0000"/>
        <rFont val="Arial"/>
        <family val="2"/>
      </rPr>
      <t>DELETE:</t>
    </r>
    <r>
      <rPr>
        <b/>
        <sz val="12"/>
        <color rgb="FFFF0000"/>
        <rFont val="Arial"/>
        <family val="2"/>
      </rPr>
      <t xml:space="preserve"> 
1)"This Tab (INSTRUCTION)", "Summary", "Eligibility Review Tracker if not scoped", "Acronym List" TAB FROM THE NEWLY CREATED PROTOCOL-SPECIFIC SPREADSHEET.
2)The Grey Coloumns in "Lab and ECG Contact Report " tab before sharing it with the respective stake holders.</t>
    </r>
  </si>
  <si>
    <t>Type of Alert</t>
  </si>
  <si>
    <t>Cancelled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</si>
</sst>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8" x14ac:knownFonts="1">
    <font>
      <sz val="11"/>
      <color theme="1"/>
      <name val="Calibri"/>
      <family val="2"/>
      <scheme val="minor"/>
    </font>
    <font>
      <b/>
      <sz val="11"/>
      <color theme="1"/>
      <name val="Calibri"/>
      <family val="2"/>
      <scheme val="minor"/>
    </font>
    <font>
      <b/>
      <sz val="12"/>
      <color rgb="FF0000FF"/>
      <name val="Arial"/>
      <family val="2"/>
    </font>
    <font>
      <b/>
      <sz val="10"/>
      <color indexed="9"/>
      <name val="Arial"/>
      <family val="2"/>
    </font>
    <font>
      <sz val="10"/>
      <name val="Arial"/>
      <family val="2"/>
    </font>
    <font>
      <b/>
      <sz val="12"/>
      <color rgb="FFFF0000"/>
      <name val="Arial"/>
      <family val="2"/>
    </font>
    <font>
      <b/>
      <sz val="12"/>
      <name val="Arial"/>
      <family val="2"/>
    </font>
    <font>
      <b/>
      <sz val="11"/>
      <name val="Arial"/>
      <family val="2"/>
    </font>
    <font>
      <sz val="11"/>
      <name val="Arial"/>
      <family val="2"/>
    </font>
    <font>
      <sz val="12"/>
      <name val="Arial"/>
      <family val="2"/>
    </font>
    <font>
      <b/>
      <sz val="10"/>
      <color theme="1"/>
      <name val="Arial"/>
      <family val="2"/>
    </font>
    <font>
      <b/>
      <sz val="10"/>
      <color theme="0"/>
      <name val="Arial"/>
      <family val="2"/>
    </font>
    <font>
      <sz val="10"/>
      <color theme="1"/>
      <name val="Arial"/>
      <family val="2"/>
    </font>
    <font>
      <b/>
      <i/>
      <sz val="12"/>
      <color rgb="FF0000FF"/>
      <name val="Arial"/>
      <family val="2"/>
    </font>
    <font>
      <b/>
      <u/>
      <sz val="11"/>
      <color theme="1"/>
      <name val="Arial"/>
      <family val="2"/>
    </font>
    <font>
      <b/>
      <u/>
      <sz val="11"/>
      <name val="Arial"/>
      <family val="2"/>
    </font>
    <font>
      <b/>
      <u/>
      <sz val="11"/>
      <color theme="1"/>
      <name val="Calibri"/>
      <family val="2"/>
      <scheme val="minor"/>
    </font>
    <font>
      <b/>
      <i/>
      <sz val="11"/>
      <color theme="1"/>
      <name val="Calibri"/>
      <family val="2"/>
      <scheme val="minor"/>
    </font>
    <font>
      <sz val="11"/>
      <color theme="1"/>
      <name val="Calibri"/>
      <family val="2"/>
      <scheme val="minor"/>
    </font>
    <font>
      <sz val="11"/>
      <color rgb="FFFF0000"/>
      <name val="Calibri"/>
      <family val="2"/>
      <scheme val="minor"/>
    </font>
    <font>
      <b/>
      <i/>
      <sz val="9"/>
      <color rgb="FFFF0000"/>
      <name val="Arial"/>
      <family val="2"/>
    </font>
    <font>
      <sz val="10"/>
      <name val="Arial"/>
      <family val="2"/>
      <charset val="238"/>
    </font>
    <font>
      <sz val="10"/>
      <name val="Calibri"/>
      <family val="2"/>
      <scheme val="minor"/>
    </font>
    <font>
      <sz val="10"/>
      <color rgb="FF000000"/>
      <name val="Calibri"/>
      <family val="2"/>
      <scheme val="minor"/>
    </font>
    <font>
      <b/>
      <sz val="12"/>
      <name val="Times New Roman"/>
      <family val="1"/>
    </font>
    <font>
      <b/>
      <u/>
      <sz val="12"/>
      <color rgb="FFFF0000"/>
      <name val="Arial"/>
      <family val="2"/>
    </font>
    <font>
      <b/>
      <sz val="11"/>
      <color theme="0"/>
      <name val="Arial"/>
      <family val="2"/>
    </font>
    <font>
      <b/>
      <u/>
      <sz val="14"/>
      <name val="Arial"/>
      <family val="2"/>
    </font>
  </fonts>
  <fills count="13">
    <fill>
      <patternFill patternType="none"/>
    </fill>
    <fill>
      <patternFill patternType="gray125"/>
    </fill>
    <fill>
      <patternFill patternType="solid">
        <fgColor indexed="9"/>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tint="0.79998168889431442"/>
      </patternFill>
    </fill>
    <fill>
      <patternFill patternType="solid">
        <fgColor theme="4"/>
        <bgColor indexed="64"/>
      </patternFill>
    </fill>
    <fill>
      <patternFill patternType="solid">
        <fgColor rgb="FF0000FF"/>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0" tint="-0.14996795556505021"/>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right/>
      <top/>
      <bottom style="thin">
        <color indexed="64"/>
      </bottom>
      <diagonal/>
    </border>
  </borders>
  <cellStyleXfs count="2">
    <xf numFmtId="0" fontId="0" fillId="0" borderId="0"/>
    <xf numFmtId="0" fontId="4" fillId="0" borderId="0"/>
  </cellStyleXfs>
  <cellXfs count="113">
    <xf numFmtId="0" fontId="0" fillId="0" borderId="0" xfId="0"/>
    <xf numFmtId="0" fontId="0" fillId="0" borderId="0" xfId="0" applyProtection="1">
      <protection hidden="1"/>
    </xf>
    <xf numFmtId="0" fontId="0" fillId="0" borderId="0" xfId="0" applyAlignment="1" applyProtection="1">
      <alignment horizontal="left"/>
      <protection hidden="1"/>
    </xf>
    <xf numFmtId="0" fontId="0" fillId="0" borderId="0" xfId="0" applyNumberFormat="1" applyProtection="1">
      <protection hidden="1"/>
    </xf>
    <xf numFmtId="0" fontId="1" fillId="3" borderId="6" xfId="0" applyFont="1" applyFill="1" applyBorder="1" applyAlignment="1" applyProtection="1">
      <alignment horizontal="left"/>
      <protection hidden="1"/>
    </xf>
    <xf numFmtId="0" fontId="5" fillId="0" borderId="0" xfId="1" applyFont="1" applyAlignment="1">
      <alignment vertical="top" wrapText="1"/>
    </xf>
    <xf numFmtId="0" fontId="7" fillId="0" borderId="0" xfId="1" applyFont="1" applyAlignment="1">
      <alignment vertical="top"/>
    </xf>
    <xf numFmtId="0" fontId="7" fillId="0" borderId="0" xfId="1" applyFont="1" applyAlignment="1">
      <alignment vertical="top" wrapText="1"/>
    </xf>
    <xf numFmtId="0" fontId="7" fillId="0" borderId="0" xfId="1" applyFont="1" applyFill="1" applyAlignment="1">
      <alignment vertical="top" wrapText="1"/>
    </xf>
    <xf numFmtId="0" fontId="8" fillId="0" borderId="0" xfId="1" applyFont="1" applyAlignment="1">
      <alignment vertical="top" wrapText="1"/>
    </xf>
    <xf numFmtId="0" fontId="8" fillId="0" borderId="0" xfId="1" applyFont="1" applyAlignment="1">
      <alignment vertical="top"/>
    </xf>
    <xf numFmtId="0" fontId="6" fillId="0" borderId="6" xfId="0" applyFont="1" applyBorder="1"/>
    <xf numFmtId="0" fontId="9" fillId="0" borderId="0" xfId="0" applyFont="1"/>
    <xf numFmtId="0" fontId="8" fillId="0" borderId="0" xfId="0" applyFont="1" applyAlignment="1">
      <alignment horizontal="left" indent="6"/>
    </xf>
    <xf numFmtId="0" fontId="8" fillId="0" borderId="0" xfId="0" applyFont="1" applyAlignment="1">
      <alignment horizontal="center" vertical="center"/>
    </xf>
    <xf numFmtId="0" fontId="10" fillId="3" borderId="6" xfId="0" applyFont="1" applyFill="1" applyBorder="1" applyProtection="1">
      <protection hidden="1"/>
    </xf>
    <xf numFmtId="0" fontId="12" fillId="0" borderId="6" xfId="0" applyFont="1" applyBorder="1" applyProtection="1">
      <protection hidden="1"/>
    </xf>
    <xf numFmtId="0" fontId="12" fillId="0" borderId="6" xfId="0" applyFont="1" applyBorder="1" applyAlignment="1" applyProtection="1">
      <alignment horizontal="left"/>
      <protection hidden="1"/>
    </xf>
    <xf numFmtId="0" fontId="12" fillId="0" borderId="0" xfId="0" applyFont="1" applyProtection="1">
      <protection hidden="1"/>
    </xf>
    <xf numFmtId="0" fontId="12" fillId="0" borderId="6" xfId="0" applyFont="1" applyBorder="1"/>
    <xf numFmtId="0" fontId="0" fillId="0" borderId="0" xfId="0" applyAlignment="1" applyProtection="1">
      <alignment horizontal="center"/>
      <protection hidden="1"/>
    </xf>
    <xf numFmtId="0" fontId="9" fillId="4" borderId="0" xfId="0" applyFont="1" applyFill="1"/>
    <xf numFmtId="0" fontId="0" fillId="0" borderId="0" xfId="0"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12" fillId="0" borderId="0" xfId="0" applyFont="1" applyBorder="1" applyProtection="1">
      <protection hidden="1"/>
    </xf>
    <xf numFmtId="0" fontId="12" fillId="0" borderId="6" xfId="0" applyNumberFormat="1" applyFont="1" applyBorder="1" applyAlignment="1" applyProtection="1">
      <alignment horizontal="center"/>
      <protection hidden="1"/>
    </xf>
    <xf numFmtId="0" fontId="0" fillId="0" borderId="0" xfId="0" applyFill="1" applyProtection="1">
      <protection hidden="1"/>
    </xf>
    <xf numFmtId="0" fontId="11" fillId="5" borderId="6" xfId="0" applyFont="1" applyFill="1" applyBorder="1" applyProtection="1">
      <protection hidden="1"/>
    </xf>
    <xf numFmtId="0" fontId="11" fillId="5" borderId="6" xfId="0" applyFont="1" applyFill="1" applyBorder="1" applyAlignment="1" applyProtection="1">
      <alignment horizontal="center"/>
      <protection hidden="1"/>
    </xf>
    <xf numFmtId="0" fontId="11" fillId="6" borderId="6" xfId="0" applyFont="1" applyFill="1" applyBorder="1" applyProtection="1">
      <protection hidden="1"/>
    </xf>
    <xf numFmtId="0" fontId="12" fillId="0" borderId="6" xfId="0" applyFont="1" applyBorder="1" applyAlignment="1" applyProtection="1">
      <alignment wrapText="1"/>
      <protection hidden="1"/>
    </xf>
    <xf numFmtId="0" fontId="10" fillId="3" borderId="6" xfId="0" applyFont="1" applyFill="1" applyBorder="1" applyAlignment="1" applyProtection="1">
      <alignment horizontal="center"/>
      <protection hidden="1"/>
    </xf>
    <xf numFmtId="0" fontId="1" fillId="3" borderId="6" xfId="0" applyNumberFormat="1" applyFont="1" applyFill="1" applyBorder="1" applyAlignment="1" applyProtection="1">
      <alignment horizontal="center"/>
      <protection hidden="1"/>
    </xf>
    <xf numFmtId="0" fontId="12" fillId="0" borderId="6" xfId="0" applyFont="1" applyBorder="1" applyAlignment="1" applyProtection="1">
      <alignment horizontal="center"/>
      <protection hidden="1"/>
    </xf>
    <xf numFmtId="0" fontId="11" fillId="5" borderId="6" xfId="0" applyFont="1" applyFill="1" applyBorder="1" applyAlignment="1" applyProtection="1">
      <alignment wrapText="1"/>
      <protection hidden="1"/>
    </xf>
    <xf numFmtId="0" fontId="11" fillId="5" borderId="6" xfId="0" applyFont="1" applyFill="1" applyBorder="1" applyAlignment="1" applyProtection="1">
      <alignment horizontal="center" vertical="center"/>
      <protection hidden="1"/>
    </xf>
    <xf numFmtId="0" fontId="11" fillId="5" borderId="6" xfId="0" applyFont="1" applyFill="1" applyBorder="1" applyAlignment="1" applyProtection="1">
      <alignment horizontal="left" vertical="center"/>
      <protection hidden="1"/>
    </xf>
    <xf numFmtId="49" fontId="3" fillId="7" borderId="6" xfId="0" applyNumberFormat="1" applyFont="1" applyFill="1" applyBorder="1" applyAlignment="1" applyProtection="1">
      <alignment horizontal="center" vertical="top" wrapText="1"/>
      <protection locked="0"/>
    </xf>
    <xf numFmtId="49" fontId="3" fillId="7" borderId="6" xfId="0" applyNumberFormat="1" applyFont="1" applyFill="1" applyBorder="1" applyAlignment="1" applyProtection="1">
      <alignment horizontal="center" vertical="center" wrapText="1"/>
      <protection locked="0"/>
    </xf>
    <xf numFmtId="164" fontId="2" fillId="2" borderId="8" xfId="0" applyNumberFormat="1" applyFont="1" applyFill="1" applyBorder="1" applyAlignment="1" applyProtection="1">
      <alignment vertical="top"/>
      <protection locked="0"/>
    </xf>
    <xf numFmtId="164" fontId="2" fillId="2" borderId="9" xfId="0" applyNumberFormat="1" applyFont="1" applyFill="1" applyBorder="1" applyAlignment="1" applyProtection="1">
      <alignment vertical="top"/>
      <protection locked="0"/>
    </xf>
    <xf numFmtId="164" fontId="2" fillId="2" borderId="2" xfId="0" applyNumberFormat="1" applyFont="1" applyFill="1" applyBorder="1" applyAlignment="1" applyProtection="1">
      <alignment vertical="top"/>
      <protection locked="0"/>
    </xf>
    <xf numFmtId="164" fontId="2" fillId="2" borderId="11" xfId="0" applyNumberFormat="1" applyFont="1" applyFill="1" applyBorder="1" applyAlignment="1" applyProtection="1">
      <alignment vertical="top"/>
      <protection locked="0"/>
    </xf>
    <xf numFmtId="0" fontId="6" fillId="0" borderId="0" xfId="0" applyFont="1" applyFill="1" applyBorder="1"/>
    <xf numFmtId="0" fontId="9" fillId="0" borderId="0" xfId="0" applyFont="1" applyFill="1"/>
    <xf numFmtId="0" fontId="0" fillId="0" borderId="0" xfId="0" applyFill="1"/>
    <xf numFmtId="0" fontId="0" fillId="0" borderId="6" xfId="0" applyFill="1" applyBorder="1" applyAlignment="1">
      <alignment horizontal="left"/>
    </xf>
    <xf numFmtId="15" fontId="0" fillId="0" borderId="6" xfId="0" applyNumberFormat="1" applyFill="1" applyBorder="1" applyAlignment="1">
      <alignment horizontal="left"/>
    </xf>
    <xf numFmtId="0" fontId="0" fillId="0" borderId="6" xfId="0" applyBorder="1"/>
    <xf numFmtId="0" fontId="0" fillId="0" borderId="6" xfId="0" applyFill="1" applyBorder="1"/>
    <xf numFmtId="0" fontId="0" fillId="10" borderId="6" xfId="0" applyFill="1" applyBorder="1"/>
    <xf numFmtId="0" fontId="0" fillId="10" borderId="6" xfId="0" applyFill="1" applyBorder="1" applyAlignment="1">
      <alignment horizontal="left"/>
    </xf>
    <xf numFmtId="15" fontId="0" fillId="0" borderId="6" xfId="0" applyNumberFormat="1" applyBorder="1" applyAlignment="1">
      <alignment horizontal="left"/>
    </xf>
    <xf numFmtId="0" fontId="14" fillId="0" borderId="0" xfId="0" applyFont="1" applyAlignment="1">
      <alignment horizontal="left"/>
    </xf>
    <xf numFmtId="0" fontId="15" fillId="0" borderId="0" xfId="1" applyFont="1" applyAlignment="1">
      <alignment vertical="top"/>
    </xf>
    <xf numFmtId="0" fontId="1" fillId="0" borderId="0" xfId="0" applyFont="1" applyAlignment="1">
      <alignment horizontal="left"/>
    </xf>
    <xf numFmtId="0" fontId="16" fillId="0" borderId="0" xfId="0" applyFont="1" applyAlignment="1">
      <alignment horizontal="left"/>
    </xf>
    <xf numFmtId="0" fontId="17" fillId="0" borderId="0" xfId="0" applyFont="1" applyAlignment="1">
      <alignment horizontal="left"/>
    </xf>
    <xf numFmtId="0" fontId="0" fillId="0" borderId="0" xfId="0" applyProtection="1">
      <protection locked="0"/>
    </xf>
    <xf numFmtId="164" fontId="2" fillId="11" borderId="0" xfId="0" applyNumberFormat="1" applyFont="1" applyFill="1" applyBorder="1" applyAlignment="1" applyProtection="1">
      <alignment horizontal="left" vertical="top"/>
      <protection locked="0"/>
    </xf>
    <xf numFmtId="0" fontId="0" fillId="11" borderId="0" xfId="0" applyFill="1" applyProtection="1">
      <protection locked="0"/>
    </xf>
    <xf numFmtId="15" fontId="0" fillId="11" borderId="0" xfId="0" applyNumberFormat="1" applyFill="1" applyProtection="1">
      <protection locked="0"/>
    </xf>
    <xf numFmtId="0" fontId="0" fillId="11" borderId="0" xfId="0" applyFill="1" applyAlignment="1" applyProtection="1">
      <alignment horizontal="center"/>
      <protection locked="0"/>
    </xf>
    <xf numFmtId="0" fontId="0" fillId="11" borderId="0" xfId="0" applyFill="1" applyProtection="1">
      <protection locked="0" hidden="1"/>
    </xf>
    <xf numFmtId="0" fontId="0" fillId="0" borderId="0" xfId="0" applyAlignment="1" applyProtection="1">
      <alignment horizontal="center"/>
      <protection locked="0"/>
    </xf>
    <xf numFmtId="0" fontId="19" fillId="0" borderId="0" xfId="0" applyFont="1" applyProtection="1">
      <protection locked="0"/>
    </xf>
    <xf numFmtId="164" fontId="0" fillId="0" borderId="0" xfId="0" applyNumberFormat="1" applyProtection="1">
      <protection locked="0"/>
    </xf>
    <xf numFmtId="49" fontId="21" fillId="0" borderId="0" xfId="0" applyNumberFormat="1" applyFont="1" applyAlignment="1" applyProtection="1">
      <alignment horizontal="center" vertical="top" wrapText="1"/>
      <protection locked="0"/>
    </xf>
    <xf numFmtId="0" fontId="22" fillId="0" borderId="0" xfId="0" applyFont="1" applyFill="1" applyAlignment="1" applyProtection="1">
      <alignment horizontal="left"/>
      <protection locked="0"/>
    </xf>
    <xf numFmtId="0" fontId="0" fillId="11" borderId="6" xfId="0" applyFill="1" applyBorder="1" applyProtection="1">
      <protection locked="0"/>
    </xf>
    <xf numFmtId="15" fontId="0" fillId="11" borderId="6" xfId="0" applyNumberFormat="1" applyFill="1" applyBorder="1" applyProtection="1">
      <protection locked="0"/>
    </xf>
    <xf numFmtId="0" fontId="0" fillId="11" borderId="6" xfId="0" applyFill="1" applyBorder="1" applyAlignment="1" applyProtection="1">
      <alignment horizontal="center"/>
      <protection hidden="1"/>
    </xf>
    <xf numFmtId="15" fontId="0" fillId="11" borderId="6" xfId="0" applyNumberFormat="1" applyFill="1" applyBorder="1" applyAlignment="1" applyProtection="1">
      <alignment horizontal="center"/>
      <protection locked="0"/>
    </xf>
    <xf numFmtId="15" fontId="0" fillId="11" borderId="6" xfId="0" applyNumberFormat="1" applyFill="1" applyBorder="1" applyProtection="1">
      <protection locked="0" hidden="1"/>
    </xf>
    <xf numFmtId="0" fontId="0" fillId="11" borderId="6" xfId="0" applyFill="1" applyBorder="1" applyProtection="1">
      <protection hidden="1"/>
    </xf>
    <xf numFmtId="0" fontId="23" fillId="0" borderId="0" xfId="0" applyFont="1" applyAlignment="1" applyProtection="1">
      <alignment horizontal="left"/>
      <protection locked="0"/>
    </xf>
    <xf numFmtId="0" fontId="0" fillId="0" borderId="0" xfId="0" applyProtection="1"/>
    <xf numFmtId="0" fontId="0" fillId="0" borderId="0" xfId="0" applyAlignment="1" applyProtection="1">
      <alignment horizontal="center"/>
    </xf>
    <xf numFmtId="0" fontId="0" fillId="11" borderId="0" xfId="0" applyFill="1" applyBorder="1" applyProtection="1"/>
    <xf numFmtId="15" fontId="0" fillId="11" borderId="0" xfId="0" applyNumberFormat="1" applyFill="1" applyBorder="1" applyProtection="1"/>
    <xf numFmtId="0" fontId="0" fillId="11" borderId="0" xfId="0" applyFill="1" applyBorder="1" applyAlignment="1" applyProtection="1">
      <alignment horizontal="center"/>
    </xf>
    <xf numFmtId="0" fontId="0" fillId="11" borderId="0" xfId="0" applyFill="1" applyBorder="1" applyProtection="1">
      <protection hidden="1"/>
    </xf>
    <xf numFmtId="0" fontId="0" fillId="0" borderId="0" xfId="0" applyBorder="1" applyProtection="1"/>
    <xf numFmtId="0" fontId="18" fillId="0" borderId="0" xfId="0" applyFont="1" applyAlignment="1">
      <alignment horizontal="left"/>
    </xf>
    <xf numFmtId="0" fontId="18" fillId="0" borderId="0" xfId="0" applyFont="1" applyFill="1" applyAlignment="1">
      <alignment horizontal="left"/>
    </xf>
    <xf numFmtId="0" fontId="18" fillId="0" borderId="0" xfId="0" applyFont="1" applyFill="1"/>
    <xf numFmtId="0" fontId="18" fillId="0" borderId="0" xfId="0" applyFont="1"/>
    <xf numFmtId="0" fontId="18" fillId="0" borderId="0" xfId="0" applyFont="1" applyFill="1" applyAlignment="1">
      <alignment wrapText="1"/>
    </xf>
    <xf numFmtId="0" fontId="6" fillId="0" borderId="0" xfId="0" applyFont="1" applyAlignment="1">
      <alignment horizontal="left" indent="3"/>
    </xf>
    <xf numFmtId="0" fontId="9" fillId="0" borderId="0" xfId="0" applyFont="1" applyAlignment="1">
      <alignment vertical="center" wrapText="1"/>
    </xf>
    <xf numFmtId="0" fontId="7" fillId="8" borderId="19" xfId="0" applyFont="1" applyFill="1" applyBorder="1" applyAlignment="1">
      <alignment horizontal="center" vertical="center" wrapText="1"/>
    </xf>
    <xf numFmtId="0" fontId="26" fillId="9" borderId="19" xfId="0" applyFont="1" applyFill="1" applyBorder="1" applyAlignment="1">
      <alignment horizontal="center" vertical="center" wrapText="1"/>
    </xf>
    <xf numFmtId="164" fontId="2" fillId="2" borderId="16" xfId="0" applyNumberFormat="1" applyFont="1" applyFill="1" applyBorder="1" applyAlignment="1" applyProtection="1">
      <alignment horizontal="left" vertical="top"/>
      <protection locked="0"/>
    </xf>
    <xf numFmtId="0" fontId="27" fillId="0" borderId="0" xfId="1" applyFont="1" applyAlignment="1">
      <alignment vertical="top"/>
    </xf>
    <xf numFmtId="0" fontId="0" fillId="0" borderId="6" xfId="0" applyFont="1" applyFill="1" applyBorder="1" applyAlignment="1" applyProtection="1">
      <alignment horizontal="left"/>
      <protection hidden="1"/>
    </xf>
    <xf numFmtId="0" fontId="9" fillId="0" borderId="6" xfId="0" applyFont="1" applyFill="1" applyBorder="1"/>
    <xf numFmtId="49" fontId="20" fillId="12" borderId="20" xfId="0" applyNumberFormat="1" applyFont="1" applyFill="1" applyBorder="1" applyAlignment="1">
      <alignment horizontal="center" vertical="top" wrapText="1"/>
    </xf>
    <xf numFmtId="164" fontId="2" fillId="2" borderId="12" xfId="0" applyNumberFormat="1" applyFont="1" applyFill="1" applyBorder="1" applyAlignment="1" applyProtection="1">
      <alignment horizontal="left" vertical="top"/>
      <protection locked="0"/>
    </xf>
    <xf numFmtId="164" fontId="2" fillId="2" borderId="13" xfId="0" applyNumberFormat="1" applyFont="1" applyFill="1" applyBorder="1" applyAlignment="1" applyProtection="1">
      <alignment horizontal="left" vertical="top"/>
      <protection locked="0"/>
    </xf>
    <xf numFmtId="164" fontId="2" fillId="2" borderId="14" xfId="0" applyNumberFormat="1" applyFont="1" applyFill="1" applyBorder="1" applyAlignment="1" applyProtection="1">
      <alignment horizontal="left" vertical="top"/>
      <protection locked="0"/>
    </xf>
    <xf numFmtId="49" fontId="2" fillId="2" borderId="1" xfId="0" applyNumberFormat="1" applyFont="1" applyFill="1" applyBorder="1" applyAlignment="1" applyProtection="1">
      <alignment horizontal="center" vertical="top" wrapText="1"/>
      <protection locked="0"/>
    </xf>
    <xf numFmtId="49" fontId="2" fillId="2" borderId="2" xfId="0" applyNumberFormat="1" applyFont="1" applyFill="1" applyBorder="1" applyAlignment="1" applyProtection="1">
      <alignment horizontal="center" vertical="top" wrapText="1"/>
      <protection locked="0"/>
    </xf>
    <xf numFmtId="49" fontId="2" fillId="2" borderId="3" xfId="0" applyNumberFormat="1" applyFont="1" applyFill="1" applyBorder="1" applyAlignment="1" applyProtection="1">
      <alignment horizontal="center" vertical="top" wrapText="1"/>
      <protection locked="0"/>
    </xf>
    <xf numFmtId="49" fontId="2" fillId="2" borderId="4" xfId="0" applyNumberFormat="1" applyFont="1" applyFill="1" applyBorder="1" applyAlignment="1" applyProtection="1">
      <alignment horizontal="center" vertical="top" wrapText="1"/>
      <protection locked="0"/>
    </xf>
    <xf numFmtId="49" fontId="2" fillId="2" borderId="5" xfId="0" applyNumberFormat="1" applyFont="1" applyFill="1" applyBorder="1" applyAlignment="1" applyProtection="1">
      <alignment horizontal="center" vertical="top" wrapText="1"/>
      <protection locked="0"/>
    </xf>
    <xf numFmtId="164" fontId="2" fillId="2" borderId="6" xfId="0" applyNumberFormat="1" applyFont="1" applyFill="1" applyBorder="1" applyAlignment="1" applyProtection="1">
      <alignment horizontal="left" vertical="top"/>
      <protection locked="0"/>
    </xf>
    <xf numFmtId="164" fontId="2" fillId="2" borderId="10" xfId="0" applyNumberFormat="1" applyFont="1" applyFill="1" applyBorder="1" applyAlignment="1" applyProtection="1">
      <alignment horizontal="left" vertical="top"/>
      <protection locked="0"/>
    </xf>
    <xf numFmtId="164" fontId="2" fillId="2" borderId="15" xfId="0" applyNumberFormat="1" applyFont="1" applyFill="1" applyBorder="1" applyAlignment="1" applyProtection="1">
      <alignment horizontal="left" vertical="top"/>
      <protection locked="0"/>
    </xf>
    <xf numFmtId="164" fontId="2" fillId="2" borderId="16" xfId="0" applyNumberFormat="1" applyFont="1" applyFill="1" applyBorder="1" applyAlignment="1" applyProtection="1">
      <alignment horizontal="left" vertical="top"/>
      <protection locked="0"/>
    </xf>
    <xf numFmtId="164" fontId="2" fillId="2" borderId="17" xfId="0" applyNumberFormat="1" applyFont="1" applyFill="1" applyBorder="1" applyAlignment="1" applyProtection="1">
      <alignment horizontal="left" vertical="top"/>
      <protection locked="0"/>
    </xf>
    <xf numFmtId="164" fontId="2" fillId="2" borderId="7" xfId="0" applyNumberFormat="1" applyFont="1" applyFill="1" applyBorder="1" applyAlignment="1" applyProtection="1">
      <alignment horizontal="left" vertical="top"/>
      <protection locked="0"/>
    </xf>
    <xf numFmtId="164" fontId="2" fillId="2" borderId="18" xfId="0" applyNumberFormat="1" applyFont="1" applyFill="1" applyBorder="1" applyAlignment="1" applyProtection="1">
      <alignment horizontal="left" vertical="top"/>
      <protection locked="0"/>
    </xf>
  </cellXfs>
  <cellStyles count="2">
    <cellStyle name="Normal" xfId="0" builtinId="0"/>
    <cellStyle name="Normal 2" xfId="1" xr:uid="{00000000-0005-0000-0000-000001000000}"/>
  </cellStyles>
  <dxfs count="8">
    <dxf>
      <fill>
        <patternFill>
          <bgColor rgb="FFFF0000"/>
        </patternFill>
      </fill>
    </dxf>
    <dxf>
      <fill>
        <patternFill>
          <bgColor rgb="FF0070C0"/>
        </patternFill>
      </fill>
    </dxf>
    <dxf>
      <fill>
        <patternFill>
          <bgColor rgb="FFFFFF00"/>
        </patternFill>
      </fill>
    </dxf>
    <dxf>
      <fill>
        <patternFill>
          <bgColor rgb="FFFF0000"/>
        </patternFill>
      </fill>
    </dxf>
    <dxf>
      <font>
        <color rgb="FFFF0000"/>
      </font>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D46"/>
  <sheetViews>
    <sheetView view="pageLayout" topLeftCell="A16" zoomScale="30" zoomScaleNormal="100" zoomScalePageLayoutView="30" workbookViewId="0">
      <selection activeCell="C14" sqref="C14"/>
    </sheetView>
  </sheetViews>
  <sheetFormatPr defaultRowHeight="14.5" x14ac:dyDescent="0.35"/>
  <cols>
    <col min="2" max="2" width="35" customWidth="1"/>
    <col min="3" max="3" width="72.54296875" customWidth="1"/>
    <col min="4" max="4" width="12.453125" customWidth="1"/>
    <col min="5" max="6" width="9.1796875" customWidth="1"/>
    <col min="7" max="7" width="7" customWidth="1"/>
  </cols>
  <sheetData>
    <row r="2" spans="1:4" ht="15.5" x14ac:dyDescent="0.35">
      <c r="A2" s="89" t="s">
        <v>281</v>
      </c>
      <c r="B2" s="89"/>
      <c r="C2" s="13"/>
    </row>
    <row r="4" spans="1:4" ht="34.5" customHeight="1" x14ac:dyDescent="0.35">
      <c r="B4" s="14">
        <v>1.1000000000000001</v>
      </c>
      <c r="C4" s="90" t="s">
        <v>290</v>
      </c>
      <c r="D4" s="90"/>
    </row>
    <row r="5" spans="1:4" x14ac:dyDescent="0.35">
      <c r="B5" s="6" t="s">
        <v>59</v>
      </c>
      <c r="C5" s="6" t="s">
        <v>60</v>
      </c>
    </row>
    <row r="6" spans="1:4" ht="28" x14ac:dyDescent="0.35">
      <c r="B6" s="6" t="s">
        <v>61</v>
      </c>
      <c r="C6" s="7" t="s">
        <v>279</v>
      </c>
    </row>
    <row r="7" spans="1:4" ht="84" x14ac:dyDescent="0.35">
      <c r="B7" s="8" t="s">
        <v>62</v>
      </c>
      <c r="C7" s="8" t="s">
        <v>208</v>
      </c>
    </row>
    <row r="8" spans="1:4" ht="70" x14ac:dyDescent="0.35">
      <c r="B8" s="7" t="s">
        <v>63</v>
      </c>
      <c r="C8" s="9" t="s">
        <v>253</v>
      </c>
    </row>
    <row r="9" spans="1:4" ht="42" x14ac:dyDescent="0.35">
      <c r="B9" s="7" t="s">
        <v>64</v>
      </c>
      <c r="C9" s="10" t="s">
        <v>65</v>
      </c>
    </row>
    <row r="10" spans="1:4" x14ac:dyDescent="0.35">
      <c r="B10" s="6" t="s">
        <v>66</v>
      </c>
      <c r="C10" s="10" t="s">
        <v>67</v>
      </c>
    </row>
    <row r="11" spans="1:4" ht="28" x14ac:dyDescent="0.35">
      <c r="B11" s="7" t="s">
        <v>68</v>
      </c>
      <c r="C11" s="9" t="s">
        <v>69</v>
      </c>
    </row>
    <row r="12" spans="1:4" ht="28" x14ac:dyDescent="0.35">
      <c r="B12" s="6" t="s">
        <v>70</v>
      </c>
      <c r="C12" s="9" t="s">
        <v>71</v>
      </c>
    </row>
    <row r="13" spans="1:4" ht="45" customHeight="1" x14ac:dyDescent="0.35">
      <c r="B13" s="7" t="s">
        <v>72</v>
      </c>
      <c r="C13" s="10" t="s">
        <v>73</v>
      </c>
    </row>
    <row r="14" spans="1:4" ht="126" x14ac:dyDescent="0.35">
      <c r="B14" s="7" t="s">
        <v>74</v>
      </c>
      <c r="C14" s="9" t="s">
        <v>75</v>
      </c>
    </row>
    <row r="15" spans="1:4" ht="56" x14ac:dyDescent="0.35">
      <c r="B15" s="6" t="s">
        <v>76</v>
      </c>
      <c r="C15" s="9" t="s">
        <v>280</v>
      </c>
    </row>
    <row r="16" spans="1:4" ht="42" x14ac:dyDescent="0.35">
      <c r="B16" s="6" t="s">
        <v>77</v>
      </c>
      <c r="C16" s="9" t="s">
        <v>78</v>
      </c>
    </row>
    <row r="17" spans="2:3" x14ac:dyDescent="0.35">
      <c r="B17" s="6"/>
      <c r="C17" s="9"/>
    </row>
    <row r="18" spans="2:3" ht="18" x14ac:dyDescent="0.35">
      <c r="B18" s="94" t="s">
        <v>232</v>
      </c>
      <c r="C18" s="56"/>
    </row>
    <row r="19" spans="2:3" ht="18" x14ac:dyDescent="0.35">
      <c r="B19" s="94"/>
      <c r="C19" s="56"/>
    </row>
    <row r="20" spans="2:3" x14ac:dyDescent="0.35">
      <c r="B20" s="6" t="s">
        <v>233</v>
      </c>
      <c r="C20" s="57"/>
    </row>
    <row r="21" spans="2:3" x14ac:dyDescent="0.35">
      <c r="B21" s="6" t="s">
        <v>234</v>
      </c>
      <c r="C21" s="9" t="s">
        <v>254</v>
      </c>
    </row>
    <row r="22" spans="2:3" x14ac:dyDescent="0.35">
      <c r="B22" s="6" t="s">
        <v>235</v>
      </c>
      <c r="C22" s="9" t="s">
        <v>255</v>
      </c>
    </row>
    <row r="23" spans="2:3" x14ac:dyDescent="0.35">
      <c r="B23" s="6" t="s">
        <v>236</v>
      </c>
      <c r="C23" s="9" t="s">
        <v>256</v>
      </c>
    </row>
    <row r="24" spans="2:3" x14ac:dyDescent="0.35">
      <c r="B24" s="6" t="s">
        <v>237</v>
      </c>
      <c r="C24" s="9" t="s">
        <v>257</v>
      </c>
    </row>
    <row r="25" spans="2:3" ht="42" x14ac:dyDescent="0.35">
      <c r="B25" s="6" t="s">
        <v>238</v>
      </c>
      <c r="C25" s="9" t="s">
        <v>258</v>
      </c>
    </row>
    <row r="26" spans="2:3" ht="42" x14ac:dyDescent="0.35">
      <c r="B26" s="6" t="s">
        <v>239</v>
      </c>
      <c r="C26" s="9" t="s">
        <v>259</v>
      </c>
    </row>
    <row r="27" spans="2:3" ht="28" x14ac:dyDescent="0.35">
      <c r="B27" s="6" t="s">
        <v>240</v>
      </c>
      <c r="C27" s="9" t="s">
        <v>260</v>
      </c>
    </row>
    <row r="28" spans="2:3" x14ac:dyDescent="0.35">
      <c r="B28" s="84"/>
      <c r="C28" s="58"/>
    </row>
    <row r="29" spans="2:3" x14ac:dyDescent="0.35">
      <c r="B29" s="54" t="s">
        <v>241</v>
      </c>
      <c r="C29" s="84"/>
    </row>
    <row r="30" spans="2:3" ht="70" x14ac:dyDescent="0.35">
      <c r="B30" s="9" t="s">
        <v>242</v>
      </c>
      <c r="C30" s="84"/>
    </row>
    <row r="31" spans="2:3" x14ac:dyDescent="0.35">
      <c r="B31" s="84"/>
      <c r="C31" s="84"/>
    </row>
    <row r="32" spans="2:3" ht="56" x14ac:dyDescent="0.35">
      <c r="B32" s="6" t="s">
        <v>243</v>
      </c>
      <c r="C32" s="9" t="s">
        <v>261</v>
      </c>
    </row>
    <row r="33" spans="2:3" ht="28" x14ac:dyDescent="0.35">
      <c r="B33" s="6" t="s">
        <v>244</v>
      </c>
      <c r="C33" s="9" t="s">
        <v>262</v>
      </c>
    </row>
    <row r="34" spans="2:3" ht="28" x14ac:dyDescent="0.35">
      <c r="B34" s="6" t="s">
        <v>245</v>
      </c>
      <c r="C34" s="9" t="s">
        <v>263</v>
      </c>
    </row>
    <row r="35" spans="2:3" x14ac:dyDescent="0.35">
      <c r="B35" s="6"/>
      <c r="C35" s="9"/>
    </row>
    <row r="36" spans="2:3" x14ac:dyDescent="0.35">
      <c r="B36" s="55" t="s">
        <v>246</v>
      </c>
      <c r="C36" s="9"/>
    </row>
    <row r="37" spans="2:3" ht="70" x14ac:dyDescent="0.35">
      <c r="B37" s="9" t="s">
        <v>247</v>
      </c>
      <c r="C37" s="9"/>
    </row>
    <row r="38" spans="2:3" x14ac:dyDescent="0.35">
      <c r="B38" s="85"/>
      <c r="C38" s="9"/>
    </row>
    <row r="39" spans="2:3" x14ac:dyDescent="0.35">
      <c r="B39" s="6" t="s">
        <v>248</v>
      </c>
      <c r="C39" s="9" t="s">
        <v>264</v>
      </c>
    </row>
    <row r="40" spans="2:3" x14ac:dyDescent="0.35">
      <c r="B40" s="6" t="s">
        <v>249</v>
      </c>
      <c r="C40" s="9" t="s">
        <v>265</v>
      </c>
    </row>
    <row r="41" spans="2:3" x14ac:dyDescent="0.35">
      <c r="B41" s="85"/>
      <c r="C41" s="85"/>
    </row>
    <row r="42" spans="2:3" x14ac:dyDescent="0.35">
      <c r="B42" s="6" t="s">
        <v>250</v>
      </c>
      <c r="C42" s="86"/>
    </row>
    <row r="43" spans="2:3" ht="42" x14ac:dyDescent="0.35">
      <c r="B43" s="7" t="s">
        <v>251</v>
      </c>
      <c r="C43" s="86"/>
    </row>
    <row r="44" spans="2:3" x14ac:dyDescent="0.35">
      <c r="B44" s="87"/>
      <c r="C44" s="88"/>
    </row>
    <row r="45" spans="2:3" ht="70" x14ac:dyDescent="0.35">
      <c r="B45" s="7" t="s">
        <v>252</v>
      </c>
      <c r="C45" s="85"/>
    </row>
    <row r="46" spans="2:3" ht="93" x14ac:dyDescent="0.35">
      <c r="B46" s="14">
        <v>1.2</v>
      </c>
      <c r="C46" s="5" t="s">
        <v>291</v>
      </c>
    </row>
  </sheetData>
  <pageMargins left="0.69791666666666663" right="0.1875" top="1.3020833333333333" bottom="1.0625" header="0.3" footer="0.3"/>
  <pageSetup paperSize="9" orientation="landscape" r:id="rId1"/>
  <headerFooter>
    <oddHeader xml:space="preserve">&amp;L&amp;10&amp;G
Central Lab&amp;R&amp;10Page &amp;P of &amp;N
</oddHeader>
    <oddFooter xml:space="preserve">&amp;L&amp;9Template No.: CS_TP_MS004 Revision 8
Effective Date: 15Oct2022&amp;C&amp;8&amp;G&amp;R&amp;9Reference: CS_WI_MS001,     
CS_WI_MS003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29"/>
  <sheetViews>
    <sheetView view="pageLayout" zoomScale="38" zoomScaleNormal="100" zoomScalePageLayoutView="38" workbookViewId="0">
      <selection activeCell="A25" sqref="A25"/>
    </sheetView>
  </sheetViews>
  <sheetFormatPr defaultColWidth="9.1796875" defaultRowHeight="14.5" x14ac:dyDescent="0.35"/>
  <cols>
    <col min="1" max="1" width="36.54296875" style="1" customWidth="1"/>
    <col min="2" max="2" width="10.54296875" style="1" customWidth="1"/>
    <col min="3" max="3" width="11" style="1" customWidth="1"/>
    <col min="4" max="4" width="23.26953125" style="1" customWidth="1"/>
    <col min="5" max="5" width="23.81640625" style="1" customWidth="1"/>
    <col min="6" max="6" width="9.1796875" style="1" hidden="1" customWidth="1"/>
    <col min="7" max="7" width="9.1796875" style="1"/>
    <col min="8" max="8" width="26.453125" style="1" customWidth="1"/>
    <col min="9" max="9" width="11.453125" style="1" customWidth="1"/>
    <col min="10" max="16384" width="9.1796875" style="1"/>
  </cols>
  <sheetData>
    <row r="1" spans="1:9" x14ac:dyDescent="0.35">
      <c r="A1" s="28" t="s">
        <v>45</v>
      </c>
      <c r="B1" s="29" t="s">
        <v>56</v>
      </c>
      <c r="C1" s="25"/>
      <c r="D1" s="28" t="s">
        <v>14</v>
      </c>
      <c r="E1" s="29" t="s">
        <v>56</v>
      </c>
    </row>
    <row r="2" spans="1:9" x14ac:dyDescent="0.35">
      <c r="A2" s="16" t="s">
        <v>47</v>
      </c>
      <c r="B2" s="34">
        <f>COUNTIFS('Lab &amp; ECG Contact Report'!$U$5:$U$1048576,Summary!$A2)</f>
        <v>0</v>
      </c>
      <c r="C2" s="25"/>
      <c r="D2" s="17" t="s">
        <v>17</v>
      </c>
      <c r="E2" s="26">
        <f>COUNTIFS('Lab &amp; ECG Contact Report'!$X$5:$X$1048576,Summary!$D2,'Lab &amp; ECG Contact Report'!$U$5:$U$1048576,Summary!$A$2)</f>
        <v>0</v>
      </c>
    </row>
    <row r="3" spans="1:9" x14ac:dyDescent="0.35">
      <c r="A3" s="16" t="s">
        <v>46</v>
      </c>
      <c r="B3" s="34">
        <f>COUNTIFS('Lab &amp; ECG Contact Report'!$U$5:$U$1048576,Summary!$A3)</f>
        <v>0</v>
      </c>
      <c r="C3" s="25"/>
      <c r="D3" s="17" t="s">
        <v>18</v>
      </c>
      <c r="E3" s="26">
        <f>COUNTIFS('Lab &amp; ECG Contact Report'!$X$5:$X$1048576,Summary!$D3,'Lab &amp; ECG Contact Report'!$U$5:$U$1048576,Summary!$A$2)</f>
        <v>0</v>
      </c>
    </row>
    <row r="4" spans="1:9" x14ac:dyDescent="0.35">
      <c r="A4" s="15" t="s">
        <v>32</v>
      </c>
      <c r="B4" s="32">
        <f>SUM(B2:B3)</f>
        <v>0</v>
      </c>
      <c r="C4" s="25"/>
      <c r="D4" s="17" t="s">
        <v>19</v>
      </c>
      <c r="E4" s="26">
        <f>COUNTIFS('Lab &amp; ECG Contact Report'!$X$5:$X$1048576,Summary!$D4,'Lab &amp; ECG Contact Report'!$U$5:$U$1048576,Summary!$A$2)</f>
        <v>0</v>
      </c>
    </row>
    <row r="5" spans="1:9" x14ac:dyDescent="0.35">
      <c r="B5" s="20"/>
      <c r="C5" s="25"/>
      <c r="D5" s="15" t="s">
        <v>32</v>
      </c>
      <c r="E5" s="32">
        <f>SUM(E2:E4)</f>
        <v>0</v>
      </c>
    </row>
    <row r="6" spans="1:9" x14ac:dyDescent="0.35">
      <c r="B6" s="20"/>
      <c r="C6" s="25"/>
      <c r="D6" s="25"/>
      <c r="E6" s="20"/>
    </row>
    <row r="7" spans="1:9" ht="26.5" x14ac:dyDescent="0.35">
      <c r="A7" s="37" t="s">
        <v>55</v>
      </c>
      <c r="B7" s="36" t="s">
        <v>56</v>
      </c>
      <c r="C7" s="25"/>
      <c r="D7" s="35" t="s">
        <v>205</v>
      </c>
      <c r="E7" s="29" t="s">
        <v>56</v>
      </c>
      <c r="H7" s="2"/>
      <c r="I7" s="3"/>
    </row>
    <row r="8" spans="1:9" x14ac:dyDescent="0.35">
      <c r="A8" s="17" t="s">
        <v>51</v>
      </c>
      <c r="B8" s="26">
        <f>COUNTIFS('Lab &amp; ECG Contact Report'!$V$5:$V$1048576,Summary!$A8,'Lab &amp; ECG Contact Report'!$U$5:$U$1048576,Summary!$A$3)</f>
        <v>0</v>
      </c>
      <c r="C8" s="25"/>
      <c r="D8" s="17" t="s">
        <v>53</v>
      </c>
      <c r="E8" s="26">
        <f>COUNTIFS('Lab &amp; ECG Contact Report'!$W$5:$W$1048576,Summary!$D8,'Lab &amp; ECG Contact Report'!$U$5:$U$1048576,Summary!$A$3)</f>
        <v>0</v>
      </c>
    </row>
    <row r="9" spans="1:9" x14ac:dyDescent="0.35">
      <c r="A9" s="17" t="s">
        <v>28</v>
      </c>
      <c r="B9" s="26">
        <f>COUNTIFS('Lab &amp; ECG Contact Report'!$V$5:$V$1048576,Summary!$A9,'Lab &amp; ECG Contact Report'!$U$5:$U$1048576,Summary!$A$3)</f>
        <v>0</v>
      </c>
      <c r="C9" s="25"/>
      <c r="D9" s="17" t="s">
        <v>54</v>
      </c>
      <c r="E9" s="26">
        <f>COUNTIFS('Lab &amp; ECG Contact Report'!$W$5:$W$1048576,Summary!$D9,'Lab &amp; ECG Contact Report'!$U$5:$U$1048576,Summary!$A$3)</f>
        <v>0</v>
      </c>
    </row>
    <row r="10" spans="1:9" x14ac:dyDescent="0.35">
      <c r="A10" s="17" t="s">
        <v>29</v>
      </c>
      <c r="B10" s="26">
        <f>COUNTIFS('Lab &amp; ECG Contact Report'!$V$5:$V$1048576,Summary!$A10,'Lab &amp; ECG Contact Report'!$U$5:$U$1048576,Summary!$A$3)</f>
        <v>0</v>
      </c>
      <c r="C10" s="25"/>
      <c r="D10" s="4" t="s">
        <v>32</v>
      </c>
      <c r="E10" s="33">
        <f>SUM(E8:E9)</f>
        <v>0</v>
      </c>
    </row>
    <row r="11" spans="1:9" x14ac:dyDescent="0.35">
      <c r="A11" s="16" t="s">
        <v>52</v>
      </c>
      <c r="B11" s="26">
        <f>COUNTIFS('Lab &amp; ECG Contact Report'!$V$5:$V$1048576,Summary!$A11,'Lab &amp; ECG Contact Report'!$U$5:$U$1048576,Summary!$A$3)</f>
        <v>0</v>
      </c>
      <c r="C11" s="25"/>
      <c r="D11" s="25"/>
      <c r="E11" s="20"/>
    </row>
    <row r="12" spans="1:9" x14ac:dyDescent="0.35">
      <c r="A12" s="16" t="s">
        <v>30</v>
      </c>
      <c r="B12" s="26">
        <f>COUNTIFS('Lab &amp; ECG Contact Report'!$V$5:$V$1048576,Summary!$A12,'Lab &amp; ECG Contact Report'!$U$5:$U$1048576,Summary!$A$3)</f>
        <v>0</v>
      </c>
      <c r="C12" s="25"/>
      <c r="D12" s="28" t="s">
        <v>292</v>
      </c>
      <c r="E12" s="29" t="s">
        <v>56</v>
      </c>
    </row>
    <row r="13" spans="1:9" x14ac:dyDescent="0.35">
      <c r="A13" s="16" t="s">
        <v>31</v>
      </c>
      <c r="B13" s="26">
        <f>COUNTIFS('Lab &amp; ECG Contact Report'!$V$5:$V$1048576,Summary!$A13,'Lab &amp; ECG Contact Report'!$U$5:$U$1048576,Summary!$A$3)</f>
        <v>0</v>
      </c>
      <c r="C13" s="25"/>
      <c r="D13" s="19" t="s">
        <v>26</v>
      </c>
      <c r="E13" s="26">
        <f>COUNTIFS('Lab &amp; ECG Contact Report'!$S$5:$S$1048576,Summary!$D13,'Lab &amp; ECG Contact Report'!$U$5:$U$1048576,Summary!$A$3)</f>
        <v>0</v>
      </c>
    </row>
    <row r="14" spans="1:9" x14ac:dyDescent="0.35">
      <c r="A14" s="16" t="s">
        <v>198</v>
      </c>
      <c r="B14" s="26">
        <f>COUNTIFS('Lab &amp; ECG Contact Report'!$V$5:$V$1048576,Summary!$A14,'Lab &amp; ECG Contact Report'!$U$5:$U$1048576,Summary!$A$3)</f>
        <v>0</v>
      </c>
      <c r="C14" s="25"/>
      <c r="D14" s="19" t="s">
        <v>27</v>
      </c>
      <c r="E14" s="26">
        <f>COUNTIFS('Lab &amp; ECG Contact Report'!$S$5:$S$1048576,Summary!$D14,'Lab &amp; ECG Contact Report'!$U$5:$U$1048576,Summary!$A$3)</f>
        <v>0</v>
      </c>
    </row>
    <row r="15" spans="1:9" x14ac:dyDescent="0.35">
      <c r="A15" s="15" t="s">
        <v>32</v>
      </c>
      <c r="B15" s="32">
        <f>SUM(B8:B14)</f>
        <v>0</v>
      </c>
      <c r="D15" s="95" t="s">
        <v>293</v>
      </c>
      <c r="E15" s="26">
        <f>COUNTIFS('Lab &amp; ECG Contact Report'!$S$5:$S$1048576,Summary!$D15,'Lab &amp; ECG Contact Report'!$U$5:$U$1048576,Summary!$A$3)</f>
        <v>0</v>
      </c>
    </row>
    <row r="16" spans="1:9" s="27" customFormat="1" x14ac:dyDescent="0.35">
      <c r="D16" s="4" t="s">
        <v>32</v>
      </c>
      <c r="E16" s="33">
        <f>SUM(E13:E15)</f>
        <v>0</v>
      </c>
    </row>
    <row r="18" spans="1:7" x14ac:dyDescent="0.35">
      <c r="A18" s="30" t="s">
        <v>38</v>
      </c>
      <c r="B18" s="30" t="s">
        <v>26</v>
      </c>
      <c r="C18" s="30" t="s">
        <v>27</v>
      </c>
      <c r="D18" s="30" t="s">
        <v>293</v>
      </c>
      <c r="E18" s="30" t="s">
        <v>37</v>
      </c>
    </row>
    <row r="19" spans="1:7" x14ac:dyDescent="0.35">
      <c r="A19" s="16" t="s">
        <v>35</v>
      </c>
      <c r="B19" s="26">
        <f ca="1">COUNTIFS('Lab &amp; ECG Contact Report'!$AD$5:$AD$1048576,"&gt;=60",'Lab &amp; ECG Contact Report'!$U$5:$U$1048576,Summary!$A$3,'Lab &amp; ECG Contact Report'!$S$5:$S$1048576,$D$13)</f>
        <v>0</v>
      </c>
      <c r="C19" s="26">
        <f ca="1">COUNTIFS('Lab &amp; ECG Contact Report'!$AD$5:$AD$1048576,"&gt;=60",'Lab &amp; ECG Contact Report'!$U$5:$U$1048576,Summary!$A$3,'Lab &amp; ECG Contact Report'!$S$5:$S$1048576,$D$14)</f>
        <v>0</v>
      </c>
      <c r="D19" s="26">
        <f ca="1">COUNTIFS('Lab &amp; ECG Contact Report'!$AD$5:$AD$1048576,"&gt;=60",'Lab &amp; ECG Contact Report'!$U$5:$U$1048576,Summary!$A$3,'Lab &amp; ECG Contact Report'!$S$5:$S$1048576,$D$15)</f>
        <v>0</v>
      </c>
      <c r="E19" s="26">
        <f ca="1">SUM(B19:D19)</f>
        <v>0</v>
      </c>
      <c r="F19" s="18"/>
      <c r="G19" s="18"/>
    </row>
    <row r="20" spans="1:7" ht="14.25" customHeight="1" x14ac:dyDescent="0.35">
      <c r="A20" s="31" t="s">
        <v>204</v>
      </c>
      <c r="B20" s="26">
        <f ca="1">COUNTIFS('Lab &amp; ECG Contact Report'!$AD$5:$AD$1048576,"&gt;=30",'Lab &amp; ECG Contact Report'!$AD$5:$AD$1048576,"&lt;=60",'Lab &amp; ECG Contact Report'!$U$5:$U$1048576,Summary!$A$3,'Lab &amp; ECG Contact Report'!$S$5:$S$1048576,$D$13)</f>
        <v>0</v>
      </c>
      <c r="C20" s="26">
        <f ca="1">COUNTIFS('Lab &amp; ECG Contact Report'!$AD$5:$AD$1048576,"&gt;=30",'Lab &amp; ECG Contact Report'!$AD$5:$AD$1048576,"&lt;=60",'Lab &amp; ECG Contact Report'!$U$5:$U$1048576,Summary!$A$3,'Lab &amp; ECG Contact Report'!$S$5:$S$1048576,$D$14)</f>
        <v>0</v>
      </c>
      <c r="D20" s="26">
        <f ca="1">COUNTIFS('Lab &amp; ECG Contact Report'!$AD$5:$AD$1048576,"&gt;=30",'Lab &amp; ECG Contact Report'!$AD$5:$AD$1048576,"&lt;=60",'Lab &amp; ECG Contact Report'!$U$5:$U$1048576,Summary!$A$3,'Lab &amp; ECG Contact Report'!$S$5:$S$1048576,$D$15)</f>
        <v>0</v>
      </c>
      <c r="E20" s="26">
        <f ca="1">SUM(B20:D20)</f>
        <v>0</v>
      </c>
      <c r="F20" s="18" t="s">
        <v>42</v>
      </c>
      <c r="G20" s="18"/>
    </row>
    <row r="21" spans="1:7" x14ac:dyDescent="0.35">
      <c r="A21" s="16" t="s">
        <v>36</v>
      </c>
      <c r="B21" s="26">
        <f ca="1">COUNTIFS('Lab &amp; ECG Contact Report'!$AD$5:$AD$1048576,"&lt;30",'Lab &amp; ECG Contact Report'!$U$5:$U$1048576,Summary!$A$3,'Lab &amp; ECG Contact Report'!$S$5:$S$1048576,$D$13)</f>
        <v>0</v>
      </c>
      <c r="C21" s="26">
        <f ca="1">COUNTIFS('Lab &amp; ECG Contact Report'!$AD$5:$AD$1048576,"&lt;30",'Lab &amp; ECG Contact Report'!$U$5:$U$1048576,Summary!$A$3,'Lab &amp; ECG Contact Report'!$S$5:$S$1048576,$D$14)</f>
        <v>0</v>
      </c>
      <c r="D21" s="26">
        <f ca="1">COUNTIFS('Lab &amp; ECG Contact Report'!$AD$5:$AD$1048576,"&lt;30",'Lab &amp; ECG Contact Report'!$U$5:$U$1048576,Summary!$A$3,'Lab &amp; ECG Contact Report'!$S$5:$S$1048576,$D$15)</f>
        <v>0</v>
      </c>
      <c r="E21" s="26">
        <f ca="1">SUM(B21:D21)</f>
        <v>0</v>
      </c>
      <c r="F21" s="18" t="s">
        <v>162</v>
      </c>
      <c r="G21" s="18"/>
    </row>
    <row r="24" spans="1:7" x14ac:dyDescent="0.35">
      <c r="A24" s="30" t="s">
        <v>33</v>
      </c>
      <c r="B24" s="30" t="s">
        <v>26</v>
      </c>
      <c r="C24" s="30" t="s">
        <v>27</v>
      </c>
      <c r="D24" s="30" t="s">
        <v>293</v>
      </c>
      <c r="E24" s="30" t="s">
        <v>37</v>
      </c>
    </row>
    <row r="25" spans="1:7" x14ac:dyDescent="0.35">
      <c r="A25" s="16" t="s">
        <v>39</v>
      </c>
      <c r="B25" s="26">
        <f ca="1">COUNTIFS('Lab &amp; ECG Contact Report'!$AE$5:$AE$1048576,"&gt;=15",'Lab &amp; ECG Contact Report'!$AE$5:$AE$1048576,"&lt;=30",'Lab &amp; ECG Contact Report'!$U$5:$U$1048576,Summary!$A$3,'Lab &amp; ECG Contact Report'!$S$5:$S$1048576,$D$13)</f>
        <v>0</v>
      </c>
      <c r="C25" s="26">
        <f ca="1">COUNTIFS('Lab &amp; ECG Contact Report'!$AE$5:$AE$1048576,"&gt;=15",'Lab &amp; ECG Contact Report'!$AE$5:$AE$1048576,"&lt;=30",'Lab &amp; ECG Contact Report'!$U$5:$U$1048576,Summary!$A$3,'Lab &amp; ECG Contact Report'!$S$5:$S$1048576,$D$14)</f>
        <v>0</v>
      </c>
      <c r="D25" s="26">
        <f ca="1">COUNTIFS('Lab &amp; ECG Contact Report'!$AE$5:$AE$1048576,"&gt;=15",'Lab &amp; ECG Contact Report'!$AE$5:$AE$1048576,"&lt;=30",'Lab &amp; ECG Contact Report'!$U$5:$U$1048576,Summary!$A$3,'Lab &amp; ECG Contact Report'!$S$5:$S$1048576,$D$15)</f>
        <v>0</v>
      </c>
      <c r="E25" s="26">
        <f ca="1">SUM(B25:D25)</f>
        <v>0</v>
      </c>
      <c r="F25" s="1" t="s">
        <v>203</v>
      </c>
    </row>
    <row r="26" spans="1:7" x14ac:dyDescent="0.35">
      <c r="A26" s="16" t="s">
        <v>40</v>
      </c>
      <c r="B26" s="26">
        <f ca="1">COUNTIFS('Lab &amp; ECG Contact Report'!$AE$5:$AE$1048576,"&gt;=30",'Lab &amp; ECG Contact Report'!$U$5:$U$1048576,Summary!$A$3,'Lab &amp; ECG Contact Report'!$S$5:$S$1048576,$D$13)</f>
        <v>0</v>
      </c>
      <c r="C26" s="26">
        <f ca="1">COUNTIFS('Lab &amp; ECG Contact Report'!$AE$5:$AE$1048576,"&gt;=30",'Lab &amp; ECG Contact Report'!$U$5:$U$1048576,Summary!$A$3,'Lab &amp; ECG Contact Report'!$S$5:$S$1048576,$D$14)</f>
        <v>0</v>
      </c>
      <c r="D26" s="26">
        <f ca="1">COUNTIFS('Lab &amp; ECG Contact Report'!$AE$5:$AE$1048576,"&gt;=30",'Lab &amp; ECG Contact Report'!$U$5:$U$1048576,Summary!$A$3,'Lab &amp; ECG Contact Report'!$S$5:$S$1048576,$D$15)</f>
        <v>0</v>
      </c>
      <c r="E26" s="26">
        <f ca="1">SUM(B26:D26)</f>
        <v>0</v>
      </c>
    </row>
    <row r="28" spans="1:7" x14ac:dyDescent="0.35">
      <c r="A28" s="30" t="s">
        <v>41</v>
      </c>
      <c r="B28" s="30" t="s">
        <v>26</v>
      </c>
      <c r="C28" s="30" t="s">
        <v>27</v>
      </c>
      <c r="D28" s="30" t="s">
        <v>293</v>
      </c>
      <c r="E28" s="30" t="s">
        <v>37</v>
      </c>
    </row>
    <row r="29" spans="1:7" x14ac:dyDescent="0.35">
      <c r="A29" s="16" t="s">
        <v>48</v>
      </c>
      <c r="B29" s="26">
        <f ca="1">COUNTIFS('Lab &amp; ECG Contact Report'!$AJ$5:$AJ$1048576,"&gt;=5",'Lab &amp; ECG Contact Report'!$U$5:$U$1048576,Summary!$A$3,'Lab &amp; ECG Contact Report'!$S$5:$S$1048576,$D$13)</f>
        <v>0</v>
      </c>
      <c r="C29" s="26">
        <f ca="1">COUNTIFS('Lab &amp; ECG Contact Report'!$AJ$5:$AJ$1048576,"&gt;=5",'Lab &amp; ECG Contact Report'!$U$5:$U$1048576,Summary!$A$3,'Lab &amp; ECG Contact Report'!$S$5:$S$1048576,$D$14)</f>
        <v>0</v>
      </c>
      <c r="D29" s="26">
        <f ca="1">COUNTIFS('Lab &amp; ECG Contact Report'!$AJ$5:$AJ$1048576,"&gt;=5",'Lab &amp; ECG Contact Report'!$U$5:$U$1048576,Summary!$A$3,'Lab &amp; ECG Contact Report'!$S$5:$S$1048576,$D$15)</f>
        <v>0</v>
      </c>
      <c r="E29" s="26">
        <f ca="1">SUM(B29:D29)</f>
        <v>0</v>
      </c>
    </row>
  </sheetData>
  <sheetProtection algorithmName="SHA-512" hashValue="2HwQQ6xmjgm5Ts61OP5lIeNf9LqHJ1v+RZPzb23+b9XXsCmFpOCGRXHaKjeljxs/OOqwtZNbHTPX9U24+AoyMw==" saltValue="EhfoaJR75k5BTOBa2l1zEqQcU5aCM2WN" spinCount="125000" sheet="1" objects="1" scenarios="1"/>
  <pageMargins left="0.7" right="0.7" top="1.3125" bottom="0.92708333333333337" header="0.3" footer="0.3"/>
  <pageSetup paperSize="9" orientation="landscape" r:id="rId1"/>
  <headerFooter>
    <oddHeader xml:space="preserve">&amp;L&amp;G
Central Lab&amp;RPage &amp;P of &amp;N
</oddHeader>
    <oddFooter xml:space="preserve">&amp;L&amp;9Template No.: CS_TP_MS004 Revision 8
Effective Date: 15Oct2022&amp;C&amp;8&amp;G&amp;R&amp;9Reference: CS_WI_MS001,     
CS_WI_MS003
</oddFooter>
  </headerFooter>
  <ignoredErrors>
    <ignoredError sqref="C19" formula="1"/>
  </ignoredError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BA0CF-B321-4C00-9EE6-7715EAE79B0C}">
  <sheetPr codeName="Sheet3"/>
  <dimension ref="A1:BG501"/>
  <sheetViews>
    <sheetView view="pageLayout" zoomScale="28" zoomScaleNormal="100" zoomScalePageLayoutView="28" workbookViewId="0">
      <selection activeCell="K24" sqref="J24:K24"/>
    </sheetView>
  </sheetViews>
  <sheetFormatPr defaultColWidth="9.26953125" defaultRowHeight="14.5" x14ac:dyDescent="0.35"/>
  <cols>
    <col min="1" max="1" width="9.26953125" style="83"/>
    <col min="2" max="2" width="10.26953125" style="77" customWidth="1"/>
    <col min="3" max="3" width="13.7265625" style="77" customWidth="1"/>
    <col min="4" max="4" width="13.7265625" style="77" bestFit="1" customWidth="1"/>
    <col min="5" max="5" width="15" style="77" customWidth="1"/>
    <col min="6" max="6" width="8" style="78" customWidth="1"/>
    <col min="7" max="7" width="12.7265625" style="77" customWidth="1"/>
    <col min="8" max="8" width="10.7265625" style="77" customWidth="1"/>
    <col min="9" max="9" width="22.26953125" style="77" customWidth="1"/>
    <col min="10" max="10" width="12" style="77" customWidth="1"/>
    <col min="11" max="12" width="14.7265625" style="77" customWidth="1"/>
    <col min="13" max="13" width="9.26953125" style="77"/>
    <col min="14" max="14" width="9.7265625" style="77" customWidth="1"/>
    <col min="15" max="16" width="19.7265625" style="77" customWidth="1"/>
    <col min="17" max="17" width="12" style="77" customWidth="1"/>
    <col min="18" max="19" width="24.453125" style="77" customWidth="1"/>
    <col min="20" max="20" width="16.26953125" style="77" customWidth="1"/>
    <col min="21" max="21" width="11.7265625" style="77" customWidth="1"/>
    <col min="22" max="22" width="37.26953125" style="77" customWidth="1"/>
    <col min="23" max="23" width="23.7265625" style="78" customWidth="1"/>
    <col min="24" max="24" width="23.26953125" style="77" customWidth="1"/>
    <col min="25" max="25" width="34.7265625" style="77" customWidth="1"/>
    <col min="26" max="26" width="38.7265625" style="77" customWidth="1"/>
    <col min="27" max="27" width="17.26953125" style="79" customWidth="1"/>
    <col min="28" max="28" width="17.7265625" style="79" customWidth="1"/>
    <col min="29" max="29" width="17.26953125" style="80" customWidth="1"/>
    <col min="30" max="30" width="18.26953125" style="81" customWidth="1"/>
    <col min="31" max="31" width="15.7265625" style="81" customWidth="1"/>
    <col min="32" max="32" width="17.7265625" style="81" customWidth="1"/>
    <col min="33" max="33" width="26.453125" style="79" customWidth="1"/>
    <col min="34" max="34" width="27.453125" style="79" customWidth="1"/>
    <col min="35" max="35" width="19" style="82" customWidth="1"/>
    <col min="36" max="36" width="16.7265625" style="79" customWidth="1"/>
    <col min="37" max="37" width="22.7265625" style="79" customWidth="1"/>
    <col min="38" max="38" width="18" style="79" customWidth="1"/>
    <col min="39" max="39" width="18.7265625" style="79" customWidth="1"/>
    <col min="40" max="40" width="31.453125" style="79" customWidth="1"/>
    <col min="41" max="42" width="9.26953125" style="83"/>
    <col min="43" max="46" width="9.26953125" style="83" hidden="1" customWidth="1"/>
    <col min="47" max="47" width="30" style="83" hidden="1" customWidth="1"/>
    <col min="48" max="48" width="16.7265625" style="83" hidden="1" customWidth="1"/>
    <col min="49" max="59" width="9.26953125" style="83" hidden="1" customWidth="1"/>
    <col min="60" max="16384" width="9.26953125" style="83"/>
  </cols>
  <sheetData>
    <row r="1" spans="1:59" s="59" customFormat="1" ht="22.5" customHeight="1" thickBot="1" x14ac:dyDescent="0.4">
      <c r="C1" s="40" t="s">
        <v>0</v>
      </c>
      <c r="D1" s="41"/>
      <c r="E1" s="41"/>
      <c r="F1" s="41"/>
      <c r="G1" s="42"/>
      <c r="H1" s="43"/>
      <c r="I1" s="98" t="s">
        <v>1</v>
      </c>
      <c r="J1" s="99"/>
      <c r="K1" s="99"/>
      <c r="L1" s="99"/>
      <c r="M1" s="99"/>
      <c r="N1" s="99"/>
      <c r="O1" s="99"/>
      <c r="P1" s="99"/>
      <c r="Q1" s="99"/>
      <c r="R1" s="99"/>
      <c r="S1" s="99"/>
      <c r="T1" s="99"/>
      <c r="U1" s="99"/>
      <c r="V1" s="99"/>
      <c r="W1" s="99"/>
      <c r="X1" s="99"/>
      <c r="Y1" s="99"/>
      <c r="Z1" s="100"/>
      <c r="AA1" s="60"/>
      <c r="AB1" s="61"/>
      <c r="AC1" s="62"/>
      <c r="AD1" s="63"/>
      <c r="AE1" s="63"/>
      <c r="AF1" s="63"/>
      <c r="AG1" s="61"/>
      <c r="AH1" s="61"/>
      <c r="AI1" s="64"/>
      <c r="AJ1" s="61"/>
      <c r="AK1" s="61"/>
      <c r="AL1" s="61"/>
      <c r="AM1" s="61"/>
      <c r="AN1" s="61"/>
    </row>
    <row r="2" spans="1:59" s="59" customFormat="1" ht="27" customHeight="1" x14ac:dyDescent="0.35">
      <c r="C2" s="101" t="s">
        <v>161</v>
      </c>
      <c r="D2" s="102"/>
      <c r="E2" s="102"/>
      <c r="F2" s="102"/>
      <c r="G2" s="106" t="s">
        <v>207</v>
      </c>
      <c r="H2" s="106"/>
      <c r="I2" s="106"/>
      <c r="J2" s="106"/>
      <c r="K2" s="106"/>
      <c r="L2" s="106"/>
      <c r="M2" s="106"/>
      <c r="N2" s="106"/>
      <c r="O2" s="106"/>
      <c r="P2" s="106"/>
      <c r="Q2" s="106"/>
      <c r="R2" s="106"/>
      <c r="S2" s="106"/>
      <c r="T2" s="106"/>
      <c r="U2" s="106"/>
      <c r="V2" s="106"/>
      <c r="W2" s="106"/>
      <c r="X2" s="106"/>
      <c r="Y2" s="107"/>
      <c r="Z2" s="106"/>
      <c r="AA2" s="60"/>
      <c r="AB2" s="61"/>
      <c r="AC2" s="62"/>
      <c r="AD2" s="63"/>
      <c r="AE2" s="63"/>
      <c r="AF2" s="63"/>
      <c r="AG2" s="61"/>
      <c r="AH2" s="61"/>
      <c r="AI2" s="64"/>
      <c r="AJ2" s="61"/>
      <c r="AK2" s="61"/>
      <c r="AL2" s="61"/>
      <c r="AM2" s="61"/>
      <c r="AN2" s="61"/>
    </row>
    <row r="3" spans="1:59" s="59" customFormat="1" ht="35.25" customHeight="1" thickBot="1" x14ac:dyDescent="0.4">
      <c r="C3" s="103"/>
      <c r="D3" s="104"/>
      <c r="E3" s="104"/>
      <c r="F3" s="105"/>
      <c r="G3" s="108" t="s">
        <v>2</v>
      </c>
      <c r="H3" s="109"/>
      <c r="I3" s="109"/>
      <c r="J3" s="110"/>
      <c r="K3" s="93"/>
      <c r="L3" s="111" t="s">
        <v>206</v>
      </c>
      <c r="M3" s="109"/>
      <c r="N3" s="109"/>
      <c r="O3" s="109"/>
      <c r="P3" s="109"/>
      <c r="Q3" s="109"/>
      <c r="R3" s="109"/>
      <c r="S3" s="109"/>
      <c r="T3" s="109"/>
      <c r="U3" s="109"/>
      <c r="V3" s="109"/>
      <c r="W3" s="109"/>
      <c r="X3" s="109"/>
      <c r="Y3" s="109"/>
      <c r="Z3" s="112"/>
      <c r="AA3" s="60"/>
      <c r="AB3" s="61"/>
      <c r="AC3" s="62"/>
      <c r="AD3" s="63"/>
      <c r="AE3" s="63"/>
      <c r="AF3" s="63"/>
      <c r="AG3" s="61"/>
      <c r="AH3" s="61"/>
      <c r="AI3" s="64"/>
      <c r="AJ3" s="61"/>
      <c r="AK3" s="61"/>
      <c r="AL3" s="61"/>
      <c r="AM3" s="61"/>
      <c r="AN3" s="61"/>
    </row>
    <row r="4" spans="1:59" s="59" customFormat="1" x14ac:dyDescent="0.35">
      <c r="F4" s="65"/>
      <c r="W4" s="65"/>
      <c r="AA4" s="97" t="s">
        <v>266</v>
      </c>
      <c r="AB4" s="97"/>
      <c r="AC4" s="97"/>
      <c r="AD4" s="97"/>
      <c r="AE4" s="97"/>
      <c r="AF4" s="97"/>
      <c r="AG4" s="97"/>
      <c r="AH4" s="97"/>
      <c r="AI4" s="97"/>
      <c r="AJ4" s="97"/>
      <c r="AK4" s="97"/>
      <c r="AL4" s="97"/>
      <c r="AM4" s="97"/>
      <c r="AN4" s="61"/>
      <c r="AW4" s="66"/>
      <c r="AY4" s="66"/>
    </row>
    <row r="5" spans="1:59" s="22" customFormat="1" ht="39" customHeight="1" x14ac:dyDescent="0.35">
      <c r="A5" s="38" t="s">
        <v>282</v>
      </c>
      <c r="B5" s="38" t="s">
        <v>3</v>
      </c>
      <c r="C5" s="38" t="s">
        <v>4</v>
      </c>
      <c r="D5" s="38" t="s">
        <v>5</v>
      </c>
      <c r="E5" s="38" t="s">
        <v>6</v>
      </c>
      <c r="F5" s="38" t="s">
        <v>7</v>
      </c>
      <c r="G5" s="38" t="s">
        <v>8</v>
      </c>
      <c r="H5" s="39" t="s">
        <v>9</v>
      </c>
      <c r="I5" s="38" t="s">
        <v>200</v>
      </c>
      <c r="J5" s="38" t="s">
        <v>283</v>
      </c>
      <c r="K5" s="38" t="s">
        <v>284</v>
      </c>
      <c r="L5" s="38" t="s">
        <v>285</v>
      </c>
      <c r="M5" s="38" t="s">
        <v>10</v>
      </c>
      <c r="N5" s="38" t="s">
        <v>34</v>
      </c>
      <c r="O5" s="38" t="s">
        <v>287</v>
      </c>
      <c r="P5" s="38" t="s">
        <v>286</v>
      </c>
      <c r="Q5" s="38" t="s">
        <v>11</v>
      </c>
      <c r="R5" s="38" t="s">
        <v>12</v>
      </c>
      <c r="S5" s="38" t="s">
        <v>288</v>
      </c>
      <c r="T5" s="38" t="s">
        <v>289</v>
      </c>
      <c r="U5" s="38" t="s">
        <v>43</v>
      </c>
      <c r="V5" s="38" t="s">
        <v>44</v>
      </c>
      <c r="W5" s="38" t="s">
        <v>58</v>
      </c>
      <c r="X5" s="38" t="s">
        <v>14</v>
      </c>
      <c r="Y5" s="38" t="s">
        <v>50</v>
      </c>
      <c r="Z5" s="38" t="s">
        <v>201</v>
      </c>
      <c r="AA5" s="38" t="s">
        <v>15</v>
      </c>
      <c r="AB5" s="38" t="s">
        <v>160</v>
      </c>
      <c r="AC5" s="38" t="s">
        <v>16</v>
      </c>
      <c r="AD5" s="38" t="s">
        <v>20</v>
      </c>
      <c r="AE5" s="38" t="s">
        <v>33</v>
      </c>
      <c r="AF5" s="39" t="s">
        <v>163</v>
      </c>
      <c r="AG5" s="38" t="s">
        <v>164</v>
      </c>
      <c r="AH5" s="38" t="s">
        <v>199</v>
      </c>
      <c r="AI5" s="38" t="s">
        <v>21</v>
      </c>
      <c r="AJ5" s="38" t="s">
        <v>22</v>
      </c>
      <c r="AK5" s="38" t="s">
        <v>23</v>
      </c>
      <c r="AL5" s="38" t="s">
        <v>24</v>
      </c>
      <c r="AM5" s="38" t="s">
        <v>202</v>
      </c>
      <c r="AN5" s="38" t="s">
        <v>25</v>
      </c>
      <c r="AQ5" s="23" t="s">
        <v>7</v>
      </c>
      <c r="AR5" s="23" t="s">
        <v>45</v>
      </c>
      <c r="AS5" s="23" t="s">
        <v>13</v>
      </c>
      <c r="AT5" s="24" t="s">
        <v>57</v>
      </c>
      <c r="AU5" s="23" t="s">
        <v>49</v>
      </c>
      <c r="AW5" s="23" t="s">
        <v>14</v>
      </c>
      <c r="AY5" s="23" t="s">
        <v>50</v>
      </c>
    </row>
    <row r="6" spans="1:59" s="59" customFormat="1" x14ac:dyDescent="0.35">
      <c r="F6" s="65"/>
      <c r="I6" s="67"/>
      <c r="J6" s="67"/>
      <c r="M6" s="68"/>
      <c r="N6" s="69"/>
      <c r="W6" s="20" t="str">
        <f>IFERROR(VLOOKUP($V6,$AU$5:$AV$13,2,0),"")</f>
        <v/>
      </c>
      <c r="AA6" s="70"/>
      <c r="AB6" s="71"/>
      <c r="AC6" s="71"/>
      <c r="AD6" s="72" t="str">
        <f ca="1">IF($U6="Closed","",(IF($AC6=0,"",(IF(OR($AI6="",$AI6="Enter the date"),NETWORKDAYS($AC6,TODAY()),NETWORKDAYS($AC6,$AI6))))))</f>
        <v/>
      </c>
      <c r="AE6" s="72" t="str">
        <f ca="1">IF(AND($U6="Open",OR($AI6="",$AI6="Enter the date")),$AD6,IFERROR($AD6+$AJ6,""))</f>
        <v/>
      </c>
      <c r="AF6" s="73"/>
      <c r="AG6" s="73"/>
      <c r="AH6" s="73"/>
      <c r="AI6" s="74" t="str">
        <f>IF($AC6="","",(IF($AH6=0,IF($AG6=0,IF($AF6=0,"Enter the date",$AF6),$AG6),$AH6)))</f>
        <v/>
      </c>
      <c r="AJ6" s="75" t="str">
        <f ca="1">IF($U6="Closed","",IF(AI6="","",(IF($AI6="Enter The date","",(NETWORKDAYS($AI6,TODAY()))-1))))</f>
        <v/>
      </c>
      <c r="AK6" s="71"/>
      <c r="AL6" s="70"/>
      <c r="AM6" s="71"/>
      <c r="AN6" s="70"/>
      <c r="AQ6" s="59" t="s">
        <v>267</v>
      </c>
      <c r="AR6" s="59" t="s">
        <v>46</v>
      </c>
      <c r="AS6" s="59" t="s">
        <v>26</v>
      </c>
      <c r="AT6" s="59" t="s">
        <v>268</v>
      </c>
      <c r="AU6" s="59" t="s">
        <v>51</v>
      </c>
      <c r="AV6" s="59" t="s">
        <v>53</v>
      </c>
      <c r="AW6" s="59" t="s">
        <v>17</v>
      </c>
      <c r="AY6" s="59" t="s">
        <v>269</v>
      </c>
      <c r="BF6" s="59" t="s">
        <v>51</v>
      </c>
      <c r="BG6" s="59" t="s">
        <v>53</v>
      </c>
    </row>
    <row r="7" spans="1:59" s="59" customFormat="1" x14ac:dyDescent="0.35">
      <c r="F7" s="65"/>
      <c r="I7" s="67"/>
      <c r="J7" s="67"/>
      <c r="M7" s="68"/>
      <c r="N7" s="69"/>
      <c r="W7" s="20" t="str">
        <f t="shared" ref="W7:W70" si="0">IFERROR(VLOOKUP($V7,$AU$5:$AV$13,2,0),"")</f>
        <v/>
      </c>
      <c r="AA7" s="70"/>
      <c r="AB7" s="71"/>
      <c r="AC7" s="71"/>
      <c r="AD7" s="72" t="str">
        <f t="shared" ref="AD7:AD70" ca="1" si="1">IF($U7="Closed","",(IF($AC7=0,"",(IF(OR($AI7="",$AI7="Enter the date"),NETWORKDAYS($AC7,TODAY()),NETWORKDAYS($AC7,$AI7))))))</f>
        <v/>
      </c>
      <c r="AE7" s="72" t="str">
        <f t="shared" ref="AE7:AE70" ca="1" si="2">IF(AND($U7="Open",OR($AI7="",$AI7="Enter the date")),$AD7,IFERROR($AD7+$AJ7,""))</f>
        <v/>
      </c>
      <c r="AF7" s="73"/>
      <c r="AG7" s="71"/>
      <c r="AH7" s="70"/>
      <c r="AI7" s="74" t="str">
        <f t="shared" ref="AI7:AI70" si="3">IF($AC7="","",(IF($AH7=0,IF($AG7=0,IF($AF7=0,"Enter the date",$AF7),$AG7),$AH7)))</f>
        <v/>
      </c>
      <c r="AJ7" s="75" t="str">
        <f t="shared" ref="AJ7:AJ70" ca="1" si="4">IF($U7="Closed","",IF(AI7="","",(IF($AI7="Enter The date","",(NETWORKDAYS($AI7,TODAY()))-1))))</f>
        <v/>
      </c>
      <c r="AK7" s="71"/>
      <c r="AL7" s="70"/>
      <c r="AM7" s="71"/>
      <c r="AN7" s="70"/>
      <c r="AQ7" s="59" t="s">
        <v>270</v>
      </c>
      <c r="AR7" s="59" t="s">
        <v>47</v>
      </c>
      <c r="AS7" s="59" t="s">
        <v>27</v>
      </c>
      <c r="AT7" s="59" t="s">
        <v>271</v>
      </c>
      <c r="AU7" s="59" t="s">
        <v>28</v>
      </c>
      <c r="AV7" s="59" t="s">
        <v>53</v>
      </c>
      <c r="AW7" s="59" t="s">
        <v>18</v>
      </c>
      <c r="AY7" s="59" t="s">
        <v>272</v>
      </c>
      <c r="BF7" s="59" t="s">
        <v>28</v>
      </c>
      <c r="BG7" s="59" t="s">
        <v>53</v>
      </c>
    </row>
    <row r="8" spans="1:59" s="59" customFormat="1" x14ac:dyDescent="0.35">
      <c r="F8" s="65"/>
      <c r="I8" s="67"/>
      <c r="J8" s="67"/>
      <c r="M8" s="68"/>
      <c r="N8" s="69"/>
      <c r="W8" s="20" t="str">
        <f t="shared" si="0"/>
        <v/>
      </c>
      <c r="AA8" s="70"/>
      <c r="AB8" s="71"/>
      <c r="AC8" s="71"/>
      <c r="AD8" s="72" t="str">
        <f t="shared" ca="1" si="1"/>
        <v/>
      </c>
      <c r="AE8" s="72" t="str">
        <f t="shared" ca="1" si="2"/>
        <v/>
      </c>
      <c r="AF8" s="73"/>
      <c r="AG8" s="71"/>
      <c r="AH8" s="70"/>
      <c r="AI8" s="74" t="str">
        <f t="shared" si="3"/>
        <v/>
      </c>
      <c r="AJ8" s="75" t="str">
        <f t="shared" ca="1" si="4"/>
        <v/>
      </c>
      <c r="AK8" s="71"/>
      <c r="AL8" s="70"/>
      <c r="AM8" s="71"/>
      <c r="AN8" s="70"/>
      <c r="AU8" s="59" t="s">
        <v>29</v>
      </c>
      <c r="AV8" s="59" t="s">
        <v>54</v>
      </c>
      <c r="AW8" s="59" t="s">
        <v>19</v>
      </c>
      <c r="AY8" s="59" t="s">
        <v>273</v>
      </c>
      <c r="BF8" s="59" t="s">
        <v>29</v>
      </c>
      <c r="BG8" s="59" t="s">
        <v>54</v>
      </c>
    </row>
    <row r="9" spans="1:59" s="59" customFormat="1" ht="21" customHeight="1" x14ac:dyDescent="0.35">
      <c r="F9" s="65"/>
      <c r="I9" s="67"/>
      <c r="J9" s="67"/>
      <c r="M9" s="68"/>
      <c r="N9" s="69"/>
      <c r="W9" s="20" t="str">
        <f t="shared" si="0"/>
        <v/>
      </c>
      <c r="AA9" s="70"/>
      <c r="AB9" s="71"/>
      <c r="AC9" s="71"/>
      <c r="AD9" s="72" t="str">
        <f t="shared" ca="1" si="1"/>
        <v/>
      </c>
      <c r="AE9" s="72" t="str">
        <f t="shared" ca="1" si="2"/>
        <v/>
      </c>
      <c r="AF9" s="73"/>
      <c r="AG9" s="71"/>
      <c r="AH9" s="70"/>
      <c r="AI9" s="74" t="str">
        <f t="shared" si="3"/>
        <v/>
      </c>
      <c r="AJ9" s="75" t="str">
        <f t="shared" ca="1" si="4"/>
        <v/>
      </c>
      <c r="AK9" s="71"/>
      <c r="AL9" s="70"/>
      <c r="AM9" s="71"/>
      <c r="AN9" s="70"/>
      <c r="AU9" s="59" t="s">
        <v>52</v>
      </c>
      <c r="AV9" s="59" t="s">
        <v>53</v>
      </c>
      <c r="AY9" s="59" t="s">
        <v>274</v>
      </c>
      <c r="BF9" s="59" t="s">
        <v>52</v>
      </c>
      <c r="BG9" s="59" t="s">
        <v>53</v>
      </c>
    </row>
    <row r="10" spans="1:59" s="59" customFormat="1" ht="21.75" customHeight="1" x14ac:dyDescent="0.35">
      <c r="F10" s="65"/>
      <c r="I10" s="67"/>
      <c r="J10" s="67"/>
      <c r="M10" s="68"/>
      <c r="N10" s="69"/>
      <c r="W10" s="20" t="str">
        <f t="shared" si="0"/>
        <v/>
      </c>
      <c r="AA10" s="70"/>
      <c r="AB10" s="71"/>
      <c r="AC10" s="71"/>
      <c r="AD10" s="72" t="str">
        <f t="shared" ca="1" si="1"/>
        <v/>
      </c>
      <c r="AE10" s="72" t="str">
        <f t="shared" ca="1" si="2"/>
        <v/>
      </c>
      <c r="AF10" s="73"/>
      <c r="AG10" s="71"/>
      <c r="AH10" s="70"/>
      <c r="AI10" s="74" t="str">
        <f t="shared" si="3"/>
        <v/>
      </c>
      <c r="AJ10" s="75" t="str">
        <f t="shared" ca="1" si="4"/>
        <v/>
      </c>
      <c r="AK10" s="71"/>
      <c r="AL10" s="70"/>
      <c r="AM10" s="71"/>
      <c r="AN10" s="70"/>
      <c r="AU10" s="59" t="s">
        <v>30</v>
      </c>
      <c r="AV10" s="59" t="s">
        <v>54</v>
      </c>
      <c r="AY10" s="59" t="s">
        <v>275</v>
      </c>
      <c r="BF10" s="59" t="s">
        <v>30</v>
      </c>
      <c r="BG10" s="59" t="s">
        <v>54</v>
      </c>
    </row>
    <row r="11" spans="1:59" s="59" customFormat="1" ht="22.5" customHeight="1" x14ac:dyDescent="0.35">
      <c r="F11" s="65"/>
      <c r="I11" s="67"/>
      <c r="J11" s="67"/>
      <c r="M11" s="68"/>
      <c r="N11" s="69"/>
      <c r="W11" s="20" t="str">
        <f t="shared" si="0"/>
        <v/>
      </c>
      <c r="AA11" s="70"/>
      <c r="AB11" s="71"/>
      <c r="AC11" s="71"/>
      <c r="AD11" s="72" t="str">
        <f t="shared" ca="1" si="1"/>
        <v/>
      </c>
      <c r="AE11" s="72" t="str">
        <f t="shared" ca="1" si="2"/>
        <v/>
      </c>
      <c r="AF11" s="73"/>
      <c r="AG11" s="71"/>
      <c r="AH11" s="70"/>
      <c r="AI11" s="74" t="str">
        <f t="shared" si="3"/>
        <v/>
      </c>
      <c r="AJ11" s="75" t="str">
        <f t="shared" ca="1" si="4"/>
        <v/>
      </c>
      <c r="AK11" s="71"/>
      <c r="AL11" s="70"/>
      <c r="AM11" s="71"/>
      <c r="AN11" s="70"/>
      <c r="AU11" s="59" t="s">
        <v>31</v>
      </c>
      <c r="AV11" s="59" t="s">
        <v>53</v>
      </c>
      <c r="AY11" s="59" t="s">
        <v>276</v>
      </c>
      <c r="BF11" s="59" t="s">
        <v>31</v>
      </c>
      <c r="BG11" s="59" t="s">
        <v>53</v>
      </c>
    </row>
    <row r="12" spans="1:59" s="59" customFormat="1" x14ac:dyDescent="0.35">
      <c r="F12" s="65"/>
      <c r="I12" s="67"/>
      <c r="J12" s="67"/>
      <c r="M12" s="68"/>
      <c r="N12" s="69"/>
      <c r="W12" s="20" t="str">
        <f t="shared" si="0"/>
        <v/>
      </c>
      <c r="AA12" s="70"/>
      <c r="AB12" s="71"/>
      <c r="AC12" s="71"/>
      <c r="AD12" s="72" t="str">
        <f t="shared" ca="1" si="1"/>
        <v/>
      </c>
      <c r="AE12" s="72" t="str">
        <f t="shared" ca="1" si="2"/>
        <v/>
      </c>
      <c r="AF12" s="73"/>
      <c r="AG12" s="71"/>
      <c r="AH12" s="70"/>
      <c r="AI12" s="74" t="str">
        <f t="shared" si="3"/>
        <v/>
      </c>
      <c r="AJ12" s="75" t="str">
        <f t="shared" ca="1" si="4"/>
        <v/>
      </c>
      <c r="AK12" s="71"/>
      <c r="AL12" s="70"/>
      <c r="AM12" s="71"/>
      <c r="AN12" s="70"/>
      <c r="AU12" s="59" t="s">
        <v>198</v>
      </c>
      <c r="AV12" s="59" t="s">
        <v>54</v>
      </c>
      <c r="AY12" s="59" t="s">
        <v>277</v>
      </c>
      <c r="BF12" s="59" t="s">
        <v>198</v>
      </c>
      <c r="BG12" s="59" t="s">
        <v>54</v>
      </c>
    </row>
    <row r="13" spans="1:59" s="59" customFormat="1" x14ac:dyDescent="0.35">
      <c r="F13" s="65"/>
      <c r="I13" s="67"/>
      <c r="J13" s="67"/>
      <c r="M13" s="68"/>
      <c r="N13" s="69"/>
      <c r="W13" s="20" t="str">
        <f t="shared" si="0"/>
        <v/>
      </c>
      <c r="AA13" s="70"/>
      <c r="AB13" s="71"/>
      <c r="AC13" s="71"/>
      <c r="AD13" s="72" t="str">
        <f t="shared" ca="1" si="1"/>
        <v/>
      </c>
      <c r="AE13" s="72" t="str">
        <f t="shared" ca="1" si="2"/>
        <v/>
      </c>
      <c r="AF13" s="73"/>
      <c r="AG13" s="71"/>
      <c r="AH13" s="70"/>
      <c r="AI13" s="74" t="str">
        <f t="shared" si="3"/>
        <v/>
      </c>
      <c r="AJ13" s="75" t="str">
        <f t="shared" ca="1" si="4"/>
        <v/>
      </c>
      <c r="AK13" s="71"/>
      <c r="AL13" s="70"/>
      <c r="AM13" s="71"/>
      <c r="AN13" s="70"/>
      <c r="AU13" s="59" t="s">
        <v>278</v>
      </c>
      <c r="AY13" s="59" t="s">
        <v>278</v>
      </c>
      <c r="BF13" s="59" t="s">
        <v>278</v>
      </c>
    </row>
    <row r="14" spans="1:59" s="59" customFormat="1" x14ac:dyDescent="0.35">
      <c r="F14" s="65"/>
      <c r="I14" s="67"/>
      <c r="J14" s="67"/>
      <c r="M14" s="68"/>
      <c r="N14" s="69"/>
      <c r="W14" s="20" t="str">
        <f t="shared" si="0"/>
        <v/>
      </c>
      <c r="AA14" s="70"/>
      <c r="AB14" s="71"/>
      <c r="AC14" s="71"/>
      <c r="AD14" s="72" t="str">
        <f t="shared" ca="1" si="1"/>
        <v/>
      </c>
      <c r="AE14" s="72" t="str">
        <f t="shared" ca="1" si="2"/>
        <v/>
      </c>
      <c r="AF14" s="73"/>
      <c r="AG14" s="71"/>
      <c r="AH14" s="70"/>
      <c r="AI14" s="74" t="str">
        <f t="shared" si="3"/>
        <v/>
      </c>
      <c r="AJ14" s="75" t="str">
        <f t="shared" ca="1" si="4"/>
        <v/>
      </c>
      <c r="AK14" s="71"/>
      <c r="AL14" s="70"/>
      <c r="AM14" s="71"/>
      <c r="AN14" s="70"/>
    </row>
    <row r="15" spans="1:59" s="59" customFormat="1" x14ac:dyDescent="0.35">
      <c r="F15" s="65"/>
      <c r="I15" s="67"/>
      <c r="J15" s="67"/>
      <c r="M15" s="68"/>
      <c r="N15" s="76"/>
      <c r="W15" s="20" t="str">
        <f t="shared" si="0"/>
        <v/>
      </c>
      <c r="AA15" s="70"/>
      <c r="AB15" s="71"/>
      <c r="AC15" s="71"/>
      <c r="AD15" s="72" t="str">
        <f t="shared" ca="1" si="1"/>
        <v/>
      </c>
      <c r="AE15" s="72" t="str">
        <f t="shared" ca="1" si="2"/>
        <v/>
      </c>
      <c r="AF15" s="73"/>
      <c r="AG15" s="71"/>
      <c r="AH15" s="70"/>
      <c r="AI15" s="74" t="str">
        <f t="shared" si="3"/>
        <v/>
      </c>
      <c r="AJ15" s="75" t="str">
        <f t="shared" ca="1" si="4"/>
        <v/>
      </c>
      <c r="AK15" s="71"/>
      <c r="AL15" s="70"/>
      <c r="AM15" s="71"/>
      <c r="AN15" s="70"/>
    </row>
    <row r="16" spans="1:59" s="59" customFormat="1" x14ac:dyDescent="0.35">
      <c r="F16" s="65"/>
      <c r="I16" s="67"/>
      <c r="J16" s="67"/>
      <c r="M16" s="68"/>
      <c r="N16" s="76"/>
      <c r="W16" s="20" t="str">
        <f t="shared" si="0"/>
        <v/>
      </c>
      <c r="AA16" s="70"/>
      <c r="AB16" s="71"/>
      <c r="AC16" s="71"/>
      <c r="AD16" s="72" t="str">
        <f t="shared" ca="1" si="1"/>
        <v/>
      </c>
      <c r="AE16" s="72" t="str">
        <f t="shared" ca="1" si="2"/>
        <v/>
      </c>
      <c r="AF16" s="73"/>
      <c r="AG16" s="71"/>
      <c r="AH16" s="70"/>
      <c r="AI16" s="74" t="str">
        <f t="shared" si="3"/>
        <v/>
      </c>
      <c r="AJ16" s="75" t="str">
        <f t="shared" ca="1" si="4"/>
        <v/>
      </c>
      <c r="AK16" s="71"/>
      <c r="AL16" s="70"/>
      <c r="AM16" s="71"/>
      <c r="AN16" s="70"/>
    </row>
    <row r="17" spans="6:40" s="59" customFormat="1" x14ac:dyDescent="0.35">
      <c r="F17" s="65"/>
      <c r="I17" s="67"/>
      <c r="J17" s="67"/>
      <c r="M17" s="68"/>
      <c r="N17" s="69"/>
      <c r="W17" s="20" t="str">
        <f t="shared" si="0"/>
        <v/>
      </c>
      <c r="AA17" s="70"/>
      <c r="AB17" s="71"/>
      <c r="AC17" s="71"/>
      <c r="AD17" s="72" t="str">
        <f t="shared" ca="1" si="1"/>
        <v/>
      </c>
      <c r="AE17" s="72" t="str">
        <f t="shared" ca="1" si="2"/>
        <v/>
      </c>
      <c r="AF17" s="73"/>
      <c r="AG17" s="71"/>
      <c r="AH17" s="70"/>
      <c r="AI17" s="74" t="str">
        <f t="shared" si="3"/>
        <v/>
      </c>
      <c r="AJ17" s="75" t="str">
        <f t="shared" ca="1" si="4"/>
        <v/>
      </c>
      <c r="AK17" s="71"/>
      <c r="AL17" s="70"/>
      <c r="AM17" s="71"/>
      <c r="AN17" s="70"/>
    </row>
    <row r="18" spans="6:40" s="59" customFormat="1" x14ac:dyDescent="0.35">
      <c r="F18" s="65"/>
      <c r="I18" s="67"/>
      <c r="J18" s="67"/>
      <c r="M18" s="68"/>
      <c r="N18" s="69"/>
      <c r="W18" s="20" t="str">
        <f t="shared" si="0"/>
        <v/>
      </c>
      <c r="AA18" s="70"/>
      <c r="AB18" s="71"/>
      <c r="AC18" s="71"/>
      <c r="AD18" s="72" t="str">
        <f t="shared" ca="1" si="1"/>
        <v/>
      </c>
      <c r="AE18" s="72" t="str">
        <f t="shared" ca="1" si="2"/>
        <v/>
      </c>
      <c r="AF18" s="73"/>
      <c r="AG18" s="71"/>
      <c r="AH18" s="70"/>
      <c r="AI18" s="74" t="str">
        <f t="shared" si="3"/>
        <v/>
      </c>
      <c r="AJ18" s="75" t="str">
        <f t="shared" ca="1" si="4"/>
        <v/>
      </c>
      <c r="AK18" s="71"/>
      <c r="AL18" s="70"/>
      <c r="AM18" s="71"/>
      <c r="AN18" s="70"/>
    </row>
    <row r="19" spans="6:40" s="59" customFormat="1" x14ac:dyDescent="0.35">
      <c r="F19" s="65"/>
      <c r="I19" s="67"/>
      <c r="J19" s="67"/>
      <c r="M19" s="68"/>
      <c r="N19" s="69"/>
      <c r="W19" s="20" t="str">
        <f t="shared" si="0"/>
        <v/>
      </c>
      <c r="AA19" s="70"/>
      <c r="AB19" s="71"/>
      <c r="AC19" s="71"/>
      <c r="AD19" s="72" t="str">
        <f t="shared" ca="1" si="1"/>
        <v/>
      </c>
      <c r="AE19" s="72" t="str">
        <f t="shared" ca="1" si="2"/>
        <v/>
      </c>
      <c r="AF19" s="73"/>
      <c r="AG19" s="71"/>
      <c r="AH19" s="70"/>
      <c r="AI19" s="74" t="str">
        <f t="shared" si="3"/>
        <v/>
      </c>
      <c r="AJ19" s="75" t="str">
        <f t="shared" ca="1" si="4"/>
        <v/>
      </c>
      <c r="AK19" s="71"/>
      <c r="AL19" s="70"/>
      <c r="AM19" s="71"/>
      <c r="AN19" s="70"/>
    </row>
    <row r="20" spans="6:40" s="59" customFormat="1" x14ac:dyDescent="0.35">
      <c r="F20" s="65"/>
      <c r="I20" s="67"/>
      <c r="J20" s="67"/>
      <c r="M20" s="68"/>
      <c r="N20" s="76"/>
      <c r="W20" s="20" t="str">
        <f t="shared" si="0"/>
        <v/>
      </c>
      <c r="AA20" s="70"/>
      <c r="AB20" s="71"/>
      <c r="AC20" s="71"/>
      <c r="AD20" s="72" t="str">
        <f t="shared" ca="1" si="1"/>
        <v/>
      </c>
      <c r="AE20" s="72" t="str">
        <f t="shared" ca="1" si="2"/>
        <v/>
      </c>
      <c r="AF20" s="73"/>
      <c r="AG20" s="71"/>
      <c r="AH20" s="70"/>
      <c r="AI20" s="74" t="str">
        <f t="shared" si="3"/>
        <v/>
      </c>
      <c r="AJ20" s="75" t="str">
        <f t="shared" ca="1" si="4"/>
        <v/>
      </c>
      <c r="AK20" s="71"/>
      <c r="AL20" s="70"/>
      <c r="AM20" s="71"/>
      <c r="AN20" s="70"/>
    </row>
    <row r="21" spans="6:40" s="59" customFormat="1" x14ac:dyDescent="0.35">
      <c r="F21" s="65"/>
      <c r="I21" s="67"/>
      <c r="J21" s="67"/>
      <c r="M21" s="68"/>
      <c r="N21" s="76"/>
      <c r="W21" s="20" t="str">
        <f t="shared" si="0"/>
        <v/>
      </c>
      <c r="AA21" s="70"/>
      <c r="AB21" s="71"/>
      <c r="AC21" s="71"/>
      <c r="AD21" s="72" t="str">
        <f t="shared" ca="1" si="1"/>
        <v/>
      </c>
      <c r="AE21" s="72" t="str">
        <f t="shared" ca="1" si="2"/>
        <v/>
      </c>
      <c r="AF21" s="73"/>
      <c r="AG21" s="71"/>
      <c r="AH21" s="70"/>
      <c r="AI21" s="74" t="str">
        <f t="shared" si="3"/>
        <v/>
      </c>
      <c r="AJ21" s="75" t="str">
        <f t="shared" ca="1" si="4"/>
        <v/>
      </c>
      <c r="AK21" s="71"/>
      <c r="AL21" s="70"/>
      <c r="AM21" s="71"/>
      <c r="AN21" s="70"/>
    </row>
    <row r="22" spans="6:40" s="59" customFormat="1" x14ac:dyDescent="0.35">
      <c r="F22" s="65"/>
      <c r="I22" s="67"/>
      <c r="J22" s="67"/>
      <c r="M22" s="68"/>
      <c r="N22" s="76"/>
      <c r="W22" s="20" t="str">
        <f t="shared" si="0"/>
        <v/>
      </c>
      <c r="AA22" s="70"/>
      <c r="AB22" s="71"/>
      <c r="AC22" s="71"/>
      <c r="AD22" s="72" t="str">
        <f t="shared" ca="1" si="1"/>
        <v/>
      </c>
      <c r="AE22" s="72" t="str">
        <f t="shared" ca="1" si="2"/>
        <v/>
      </c>
      <c r="AF22" s="73"/>
      <c r="AG22" s="71"/>
      <c r="AH22" s="70"/>
      <c r="AI22" s="74" t="str">
        <f t="shared" si="3"/>
        <v/>
      </c>
      <c r="AJ22" s="75" t="str">
        <f t="shared" ca="1" si="4"/>
        <v/>
      </c>
      <c r="AK22" s="71"/>
      <c r="AL22" s="70"/>
      <c r="AM22" s="71"/>
      <c r="AN22" s="70"/>
    </row>
    <row r="23" spans="6:40" s="59" customFormat="1" x14ac:dyDescent="0.35">
      <c r="F23" s="65"/>
      <c r="I23" s="67"/>
      <c r="J23" s="67"/>
      <c r="M23" s="68"/>
      <c r="N23" s="76"/>
      <c r="W23" s="20" t="str">
        <f t="shared" si="0"/>
        <v/>
      </c>
      <c r="AA23" s="70"/>
      <c r="AB23" s="71"/>
      <c r="AC23" s="71"/>
      <c r="AD23" s="72" t="str">
        <f t="shared" ca="1" si="1"/>
        <v/>
      </c>
      <c r="AE23" s="72" t="str">
        <f t="shared" ca="1" si="2"/>
        <v/>
      </c>
      <c r="AF23" s="73"/>
      <c r="AG23" s="71"/>
      <c r="AH23" s="70"/>
      <c r="AI23" s="74" t="str">
        <f t="shared" si="3"/>
        <v/>
      </c>
      <c r="AJ23" s="75" t="str">
        <f t="shared" ca="1" si="4"/>
        <v/>
      </c>
      <c r="AK23" s="71"/>
      <c r="AL23" s="70"/>
      <c r="AM23" s="71"/>
      <c r="AN23" s="70"/>
    </row>
    <row r="24" spans="6:40" s="59" customFormat="1" x14ac:dyDescent="0.35">
      <c r="F24" s="65"/>
      <c r="I24" s="67"/>
      <c r="J24" s="67"/>
      <c r="M24" s="68"/>
      <c r="N24" s="76"/>
      <c r="W24" s="20" t="str">
        <f t="shared" si="0"/>
        <v/>
      </c>
      <c r="AA24" s="70"/>
      <c r="AB24" s="71"/>
      <c r="AC24" s="71"/>
      <c r="AD24" s="72" t="str">
        <f t="shared" ca="1" si="1"/>
        <v/>
      </c>
      <c r="AE24" s="72" t="str">
        <f t="shared" ca="1" si="2"/>
        <v/>
      </c>
      <c r="AF24" s="73"/>
      <c r="AG24" s="71"/>
      <c r="AH24" s="70"/>
      <c r="AI24" s="74" t="str">
        <f t="shared" si="3"/>
        <v/>
      </c>
      <c r="AJ24" s="75" t="str">
        <f t="shared" ca="1" si="4"/>
        <v/>
      </c>
      <c r="AK24" s="71"/>
      <c r="AL24" s="70"/>
      <c r="AM24" s="71"/>
      <c r="AN24" s="70"/>
    </row>
    <row r="25" spans="6:40" s="59" customFormat="1" x14ac:dyDescent="0.35">
      <c r="F25" s="65"/>
      <c r="I25" s="67"/>
      <c r="J25" s="67"/>
      <c r="M25" s="68"/>
      <c r="N25" s="76"/>
      <c r="W25" s="20" t="str">
        <f t="shared" si="0"/>
        <v/>
      </c>
      <c r="AA25" s="70"/>
      <c r="AB25" s="71"/>
      <c r="AC25" s="71"/>
      <c r="AD25" s="72" t="str">
        <f t="shared" ca="1" si="1"/>
        <v/>
      </c>
      <c r="AE25" s="72" t="str">
        <f t="shared" ca="1" si="2"/>
        <v/>
      </c>
      <c r="AF25" s="73"/>
      <c r="AG25" s="71"/>
      <c r="AH25" s="70"/>
      <c r="AI25" s="74" t="str">
        <f t="shared" si="3"/>
        <v/>
      </c>
      <c r="AJ25" s="75" t="str">
        <f t="shared" ca="1" si="4"/>
        <v/>
      </c>
      <c r="AK25" s="71"/>
      <c r="AL25" s="70"/>
      <c r="AM25" s="71"/>
      <c r="AN25" s="70"/>
    </row>
    <row r="26" spans="6:40" s="59" customFormat="1" x14ac:dyDescent="0.35">
      <c r="F26" s="65"/>
      <c r="I26" s="67"/>
      <c r="J26" s="67"/>
      <c r="M26" s="68"/>
      <c r="N26" s="76"/>
      <c r="W26" s="20" t="str">
        <f t="shared" si="0"/>
        <v/>
      </c>
      <c r="AA26" s="70"/>
      <c r="AB26" s="71"/>
      <c r="AC26" s="71"/>
      <c r="AD26" s="72" t="str">
        <f t="shared" ca="1" si="1"/>
        <v/>
      </c>
      <c r="AE26" s="72" t="str">
        <f t="shared" ca="1" si="2"/>
        <v/>
      </c>
      <c r="AF26" s="73"/>
      <c r="AG26" s="71"/>
      <c r="AH26" s="70"/>
      <c r="AI26" s="74" t="str">
        <f t="shared" si="3"/>
        <v/>
      </c>
      <c r="AJ26" s="75" t="str">
        <f t="shared" ca="1" si="4"/>
        <v/>
      </c>
      <c r="AK26" s="71"/>
      <c r="AL26" s="70"/>
      <c r="AM26" s="71"/>
      <c r="AN26" s="70"/>
    </row>
    <row r="27" spans="6:40" s="59" customFormat="1" x14ac:dyDescent="0.35">
      <c r="F27" s="65"/>
      <c r="I27" s="67"/>
      <c r="J27" s="67"/>
      <c r="M27" s="68"/>
      <c r="N27" s="76"/>
      <c r="W27" s="20" t="str">
        <f t="shared" si="0"/>
        <v/>
      </c>
      <c r="AA27" s="70"/>
      <c r="AB27" s="71"/>
      <c r="AC27" s="71"/>
      <c r="AD27" s="72" t="str">
        <f t="shared" ca="1" si="1"/>
        <v/>
      </c>
      <c r="AE27" s="72" t="str">
        <f t="shared" ca="1" si="2"/>
        <v/>
      </c>
      <c r="AF27" s="73"/>
      <c r="AG27" s="71"/>
      <c r="AH27" s="70"/>
      <c r="AI27" s="74" t="str">
        <f t="shared" si="3"/>
        <v/>
      </c>
      <c r="AJ27" s="75" t="str">
        <f t="shared" ca="1" si="4"/>
        <v/>
      </c>
      <c r="AK27" s="71"/>
      <c r="AL27" s="70"/>
      <c r="AM27" s="71"/>
      <c r="AN27" s="70"/>
    </row>
    <row r="28" spans="6:40" s="59" customFormat="1" x14ac:dyDescent="0.35">
      <c r="F28" s="65"/>
      <c r="I28" s="67"/>
      <c r="J28" s="67"/>
      <c r="M28" s="68"/>
      <c r="N28" s="76"/>
      <c r="W28" s="20" t="str">
        <f t="shared" si="0"/>
        <v/>
      </c>
      <c r="AA28" s="70"/>
      <c r="AB28" s="71"/>
      <c r="AC28" s="71"/>
      <c r="AD28" s="72" t="str">
        <f t="shared" ca="1" si="1"/>
        <v/>
      </c>
      <c r="AE28" s="72" t="str">
        <f t="shared" ca="1" si="2"/>
        <v/>
      </c>
      <c r="AF28" s="73"/>
      <c r="AG28" s="71"/>
      <c r="AH28" s="70"/>
      <c r="AI28" s="74" t="str">
        <f t="shared" si="3"/>
        <v/>
      </c>
      <c r="AJ28" s="75" t="str">
        <f t="shared" ca="1" si="4"/>
        <v/>
      </c>
      <c r="AK28" s="71"/>
      <c r="AL28" s="70"/>
      <c r="AM28" s="71"/>
      <c r="AN28" s="70"/>
    </row>
    <row r="29" spans="6:40" s="59" customFormat="1" x14ac:dyDescent="0.35">
      <c r="F29" s="65"/>
      <c r="I29" s="67"/>
      <c r="J29" s="67"/>
      <c r="M29" s="68"/>
      <c r="N29" s="69"/>
      <c r="W29" s="20" t="str">
        <f t="shared" si="0"/>
        <v/>
      </c>
      <c r="AA29" s="70"/>
      <c r="AB29" s="71"/>
      <c r="AC29" s="71"/>
      <c r="AD29" s="72" t="str">
        <f t="shared" ca="1" si="1"/>
        <v/>
      </c>
      <c r="AE29" s="72" t="str">
        <f t="shared" ca="1" si="2"/>
        <v/>
      </c>
      <c r="AF29" s="73"/>
      <c r="AG29" s="71"/>
      <c r="AH29" s="70"/>
      <c r="AI29" s="74" t="str">
        <f t="shared" si="3"/>
        <v/>
      </c>
      <c r="AJ29" s="75" t="str">
        <f t="shared" ca="1" si="4"/>
        <v/>
      </c>
      <c r="AK29" s="71"/>
      <c r="AL29" s="70"/>
      <c r="AM29" s="71"/>
      <c r="AN29" s="70"/>
    </row>
    <row r="30" spans="6:40" s="59" customFormat="1" x14ac:dyDescent="0.35">
      <c r="F30" s="65"/>
      <c r="I30" s="67"/>
      <c r="J30" s="67"/>
      <c r="M30" s="68"/>
      <c r="N30" s="69"/>
      <c r="W30" s="20" t="str">
        <f t="shared" si="0"/>
        <v/>
      </c>
      <c r="AA30" s="70"/>
      <c r="AB30" s="71"/>
      <c r="AC30" s="71"/>
      <c r="AD30" s="72" t="str">
        <f t="shared" ca="1" si="1"/>
        <v/>
      </c>
      <c r="AE30" s="72" t="str">
        <f t="shared" ca="1" si="2"/>
        <v/>
      </c>
      <c r="AF30" s="73"/>
      <c r="AG30" s="71"/>
      <c r="AH30" s="70"/>
      <c r="AI30" s="74" t="str">
        <f t="shared" si="3"/>
        <v/>
      </c>
      <c r="AJ30" s="75" t="str">
        <f t="shared" ca="1" si="4"/>
        <v/>
      </c>
      <c r="AK30" s="71"/>
      <c r="AL30" s="70"/>
      <c r="AM30" s="71"/>
      <c r="AN30" s="70"/>
    </row>
    <row r="31" spans="6:40" s="59" customFormat="1" x14ac:dyDescent="0.35">
      <c r="F31" s="65"/>
      <c r="I31" s="67"/>
      <c r="J31" s="67"/>
      <c r="M31" s="68"/>
      <c r="W31" s="20" t="str">
        <f t="shared" si="0"/>
        <v/>
      </c>
      <c r="AA31" s="70"/>
      <c r="AB31" s="71"/>
      <c r="AC31" s="71"/>
      <c r="AD31" s="72" t="str">
        <f t="shared" ca="1" si="1"/>
        <v/>
      </c>
      <c r="AE31" s="72" t="str">
        <f t="shared" ca="1" si="2"/>
        <v/>
      </c>
      <c r="AF31" s="73"/>
      <c r="AG31" s="70"/>
      <c r="AH31" s="70"/>
      <c r="AI31" s="74" t="str">
        <f t="shared" si="3"/>
        <v/>
      </c>
      <c r="AJ31" s="75" t="str">
        <f t="shared" ca="1" si="4"/>
        <v/>
      </c>
      <c r="AK31" s="71"/>
      <c r="AL31" s="70"/>
      <c r="AM31" s="71"/>
      <c r="AN31" s="70"/>
    </row>
    <row r="32" spans="6:40" s="59" customFormat="1" x14ac:dyDescent="0.35">
      <c r="F32" s="65"/>
      <c r="I32" s="67"/>
      <c r="J32" s="67"/>
      <c r="M32" s="68"/>
      <c r="W32" s="20" t="str">
        <f t="shared" si="0"/>
        <v/>
      </c>
      <c r="AA32" s="70"/>
      <c r="AB32" s="71"/>
      <c r="AC32" s="71"/>
      <c r="AD32" s="72" t="str">
        <f t="shared" ca="1" si="1"/>
        <v/>
      </c>
      <c r="AE32" s="72" t="str">
        <f t="shared" ca="1" si="2"/>
        <v/>
      </c>
      <c r="AF32" s="73"/>
      <c r="AG32" s="70"/>
      <c r="AH32" s="70"/>
      <c r="AI32" s="74" t="str">
        <f t="shared" si="3"/>
        <v/>
      </c>
      <c r="AJ32" s="75" t="str">
        <f t="shared" ca="1" si="4"/>
        <v/>
      </c>
      <c r="AK32" s="71"/>
      <c r="AL32" s="70"/>
      <c r="AM32" s="71"/>
      <c r="AN32" s="70"/>
    </row>
    <row r="33" spans="6:40" s="59" customFormat="1" x14ac:dyDescent="0.35">
      <c r="F33" s="65"/>
      <c r="I33" s="67"/>
      <c r="J33" s="67"/>
      <c r="M33" s="68"/>
      <c r="W33" s="20" t="str">
        <f t="shared" si="0"/>
        <v/>
      </c>
      <c r="AA33" s="70"/>
      <c r="AB33" s="71"/>
      <c r="AC33" s="71"/>
      <c r="AD33" s="72" t="str">
        <f t="shared" ca="1" si="1"/>
        <v/>
      </c>
      <c r="AE33" s="72" t="str">
        <f t="shared" ca="1" si="2"/>
        <v/>
      </c>
      <c r="AF33" s="73"/>
      <c r="AG33" s="70"/>
      <c r="AH33" s="70"/>
      <c r="AI33" s="74" t="str">
        <f t="shared" si="3"/>
        <v/>
      </c>
      <c r="AJ33" s="75" t="str">
        <f t="shared" ca="1" si="4"/>
        <v/>
      </c>
      <c r="AK33" s="71"/>
      <c r="AL33" s="70"/>
      <c r="AM33" s="71"/>
      <c r="AN33" s="70"/>
    </row>
    <row r="34" spans="6:40" s="59" customFormat="1" x14ac:dyDescent="0.35">
      <c r="F34" s="65"/>
      <c r="I34" s="67"/>
      <c r="J34" s="67"/>
      <c r="M34" s="68"/>
      <c r="W34" s="20" t="str">
        <f t="shared" si="0"/>
        <v/>
      </c>
      <c r="AA34" s="70"/>
      <c r="AB34" s="71"/>
      <c r="AC34" s="71"/>
      <c r="AD34" s="72" t="str">
        <f t="shared" ca="1" si="1"/>
        <v/>
      </c>
      <c r="AE34" s="72" t="str">
        <f t="shared" ca="1" si="2"/>
        <v/>
      </c>
      <c r="AF34" s="73"/>
      <c r="AG34" s="70"/>
      <c r="AH34" s="70"/>
      <c r="AI34" s="74" t="str">
        <f t="shared" si="3"/>
        <v/>
      </c>
      <c r="AJ34" s="75" t="str">
        <f t="shared" ca="1" si="4"/>
        <v/>
      </c>
      <c r="AK34" s="71"/>
      <c r="AL34" s="70"/>
      <c r="AM34" s="71"/>
      <c r="AN34" s="70"/>
    </row>
    <row r="35" spans="6:40" s="59" customFormat="1" x14ac:dyDescent="0.35">
      <c r="F35" s="65"/>
      <c r="I35" s="67"/>
      <c r="J35" s="67"/>
      <c r="M35" s="68"/>
      <c r="W35" s="20" t="str">
        <f t="shared" si="0"/>
        <v/>
      </c>
      <c r="AA35" s="70"/>
      <c r="AB35" s="71"/>
      <c r="AC35" s="71"/>
      <c r="AD35" s="72" t="str">
        <f t="shared" ca="1" si="1"/>
        <v/>
      </c>
      <c r="AE35" s="72" t="str">
        <f t="shared" ca="1" si="2"/>
        <v/>
      </c>
      <c r="AF35" s="73"/>
      <c r="AG35" s="70"/>
      <c r="AH35" s="70"/>
      <c r="AI35" s="74" t="str">
        <f t="shared" si="3"/>
        <v/>
      </c>
      <c r="AJ35" s="75" t="str">
        <f t="shared" ca="1" si="4"/>
        <v/>
      </c>
      <c r="AK35" s="71"/>
      <c r="AL35" s="70"/>
      <c r="AM35" s="71"/>
      <c r="AN35" s="70"/>
    </row>
    <row r="36" spans="6:40" s="59" customFormat="1" x14ac:dyDescent="0.35">
      <c r="F36" s="65"/>
      <c r="I36" s="67"/>
      <c r="J36" s="67"/>
      <c r="M36" s="68"/>
      <c r="W36" s="20" t="str">
        <f t="shared" si="0"/>
        <v/>
      </c>
      <c r="AA36" s="70"/>
      <c r="AB36" s="71"/>
      <c r="AC36" s="71"/>
      <c r="AD36" s="72" t="str">
        <f t="shared" ca="1" si="1"/>
        <v/>
      </c>
      <c r="AE36" s="72" t="str">
        <f t="shared" ca="1" si="2"/>
        <v/>
      </c>
      <c r="AF36" s="73"/>
      <c r="AG36" s="70"/>
      <c r="AH36" s="70"/>
      <c r="AI36" s="74" t="str">
        <f t="shared" si="3"/>
        <v/>
      </c>
      <c r="AJ36" s="75" t="str">
        <f t="shared" ca="1" si="4"/>
        <v/>
      </c>
      <c r="AK36" s="71"/>
      <c r="AL36" s="70"/>
      <c r="AM36" s="71"/>
      <c r="AN36" s="70"/>
    </row>
    <row r="37" spans="6:40" s="59" customFormat="1" x14ac:dyDescent="0.35">
      <c r="F37" s="65"/>
      <c r="I37" s="67"/>
      <c r="J37" s="67"/>
      <c r="M37" s="68"/>
      <c r="W37" s="20" t="str">
        <f t="shared" si="0"/>
        <v/>
      </c>
      <c r="AA37" s="70"/>
      <c r="AB37" s="71"/>
      <c r="AC37" s="71"/>
      <c r="AD37" s="72" t="str">
        <f t="shared" ca="1" si="1"/>
        <v/>
      </c>
      <c r="AE37" s="72" t="str">
        <f t="shared" ca="1" si="2"/>
        <v/>
      </c>
      <c r="AF37" s="73"/>
      <c r="AG37" s="70"/>
      <c r="AH37" s="70"/>
      <c r="AI37" s="74" t="str">
        <f t="shared" si="3"/>
        <v/>
      </c>
      <c r="AJ37" s="75" t="str">
        <f t="shared" ca="1" si="4"/>
        <v/>
      </c>
      <c r="AK37" s="71"/>
      <c r="AL37" s="70"/>
      <c r="AM37" s="71"/>
      <c r="AN37" s="70"/>
    </row>
    <row r="38" spans="6:40" s="59" customFormat="1" x14ac:dyDescent="0.35">
      <c r="F38" s="65"/>
      <c r="I38" s="67"/>
      <c r="J38" s="67"/>
      <c r="M38" s="68"/>
      <c r="W38" s="20" t="str">
        <f t="shared" si="0"/>
        <v/>
      </c>
      <c r="AA38" s="70"/>
      <c r="AB38" s="71"/>
      <c r="AC38" s="71"/>
      <c r="AD38" s="72" t="str">
        <f t="shared" ca="1" si="1"/>
        <v/>
      </c>
      <c r="AE38" s="72" t="str">
        <f t="shared" ca="1" si="2"/>
        <v/>
      </c>
      <c r="AF38" s="73"/>
      <c r="AG38" s="70"/>
      <c r="AH38" s="70"/>
      <c r="AI38" s="74" t="str">
        <f t="shared" si="3"/>
        <v/>
      </c>
      <c r="AJ38" s="75" t="str">
        <f t="shared" ca="1" si="4"/>
        <v/>
      </c>
      <c r="AK38" s="71"/>
      <c r="AL38" s="70"/>
      <c r="AM38" s="71"/>
      <c r="AN38" s="70"/>
    </row>
    <row r="39" spans="6:40" s="59" customFormat="1" x14ac:dyDescent="0.35">
      <c r="F39" s="65"/>
      <c r="I39" s="67"/>
      <c r="J39" s="67"/>
      <c r="M39" s="68"/>
      <c r="W39" s="20" t="str">
        <f t="shared" si="0"/>
        <v/>
      </c>
      <c r="AA39" s="70"/>
      <c r="AB39" s="71"/>
      <c r="AC39" s="71"/>
      <c r="AD39" s="72" t="str">
        <f t="shared" ca="1" si="1"/>
        <v/>
      </c>
      <c r="AE39" s="72" t="str">
        <f t="shared" ca="1" si="2"/>
        <v/>
      </c>
      <c r="AF39" s="73"/>
      <c r="AG39" s="70"/>
      <c r="AH39" s="70"/>
      <c r="AI39" s="74" t="str">
        <f t="shared" si="3"/>
        <v/>
      </c>
      <c r="AJ39" s="75" t="str">
        <f t="shared" ca="1" si="4"/>
        <v/>
      </c>
      <c r="AK39" s="71"/>
      <c r="AL39" s="70"/>
      <c r="AM39" s="71"/>
      <c r="AN39" s="70"/>
    </row>
    <row r="40" spans="6:40" s="59" customFormat="1" x14ac:dyDescent="0.35">
      <c r="F40" s="65"/>
      <c r="I40" s="67"/>
      <c r="J40" s="67"/>
      <c r="M40" s="68"/>
      <c r="W40" s="20" t="str">
        <f t="shared" si="0"/>
        <v/>
      </c>
      <c r="AA40" s="70"/>
      <c r="AB40" s="71"/>
      <c r="AC40" s="71"/>
      <c r="AD40" s="72" t="str">
        <f t="shared" ca="1" si="1"/>
        <v/>
      </c>
      <c r="AE40" s="72" t="str">
        <f t="shared" ca="1" si="2"/>
        <v/>
      </c>
      <c r="AF40" s="73"/>
      <c r="AG40" s="70"/>
      <c r="AH40" s="70"/>
      <c r="AI40" s="74" t="str">
        <f t="shared" si="3"/>
        <v/>
      </c>
      <c r="AJ40" s="75" t="str">
        <f t="shared" ca="1" si="4"/>
        <v/>
      </c>
      <c r="AK40" s="71"/>
      <c r="AL40" s="70"/>
      <c r="AM40" s="71"/>
      <c r="AN40" s="70"/>
    </row>
    <row r="41" spans="6:40" s="59" customFormat="1" x14ac:dyDescent="0.35">
      <c r="F41" s="65"/>
      <c r="I41" s="67"/>
      <c r="J41" s="67"/>
      <c r="M41" s="68"/>
      <c r="W41" s="20" t="str">
        <f t="shared" si="0"/>
        <v/>
      </c>
      <c r="AA41" s="70"/>
      <c r="AB41" s="71"/>
      <c r="AC41" s="71"/>
      <c r="AD41" s="72" t="str">
        <f t="shared" ca="1" si="1"/>
        <v/>
      </c>
      <c r="AE41" s="72" t="str">
        <f t="shared" ca="1" si="2"/>
        <v/>
      </c>
      <c r="AF41" s="73"/>
      <c r="AG41" s="70"/>
      <c r="AH41" s="70"/>
      <c r="AI41" s="74" t="str">
        <f t="shared" si="3"/>
        <v/>
      </c>
      <c r="AJ41" s="75" t="str">
        <f t="shared" ca="1" si="4"/>
        <v/>
      </c>
      <c r="AK41" s="71"/>
      <c r="AL41" s="70"/>
      <c r="AM41" s="71"/>
      <c r="AN41" s="70"/>
    </row>
    <row r="42" spans="6:40" s="59" customFormat="1" x14ac:dyDescent="0.35">
      <c r="F42" s="65"/>
      <c r="I42" s="67"/>
      <c r="J42" s="67"/>
      <c r="M42" s="68"/>
      <c r="W42" s="20" t="str">
        <f t="shared" si="0"/>
        <v/>
      </c>
      <c r="AA42" s="70"/>
      <c r="AB42" s="71"/>
      <c r="AC42" s="71"/>
      <c r="AD42" s="72" t="str">
        <f t="shared" ca="1" si="1"/>
        <v/>
      </c>
      <c r="AE42" s="72" t="str">
        <f t="shared" ca="1" si="2"/>
        <v/>
      </c>
      <c r="AF42" s="73"/>
      <c r="AG42" s="70"/>
      <c r="AH42" s="70"/>
      <c r="AI42" s="74" t="str">
        <f t="shared" si="3"/>
        <v/>
      </c>
      <c r="AJ42" s="75" t="str">
        <f t="shared" ca="1" si="4"/>
        <v/>
      </c>
      <c r="AK42" s="71"/>
      <c r="AL42" s="70"/>
      <c r="AM42" s="71"/>
      <c r="AN42" s="70"/>
    </row>
    <row r="43" spans="6:40" s="59" customFormat="1" x14ac:dyDescent="0.35">
      <c r="F43" s="65"/>
      <c r="I43" s="67"/>
      <c r="J43" s="67"/>
      <c r="M43" s="68"/>
      <c r="W43" s="20" t="str">
        <f t="shared" si="0"/>
        <v/>
      </c>
      <c r="AA43" s="70"/>
      <c r="AB43" s="71"/>
      <c r="AC43" s="71"/>
      <c r="AD43" s="72" t="str">
        <f t="shared" ca="1" si="1"/>
        <v/>
      </c>
      <c r="AE43" s="72" t="str">
        <f t="shared" ca="1" si="2"/>
        <v/>
      </c>
      <c r="AF43" s="73"/>
      <c r="AG43" s="70"/>
      <c r="AH43" s="70"/>
      <c r="AI43" s="74" t="str">
        <f t="shared" si="3"/>
        <v/>
      </c>
      <c r="AJ43" s="75" t="str">
        <f t="shared" ca="1" si="4"/>
        <v/>
      </c>
      <c r="AK43" s="71"/>
      <c r="AL43" s="70"/>
      <c r="AM43" s="71"/>
      <c r="AN43" s="70"/>
    </row>
    <row r="44" spans="6:40" s="59" customFormat="1" x14ac:dyDescent="0.35">
      <c r="F44" s="65"/>
      <c r="I44" s="67"/>
      <c r="J44" s="67"/>
      <c r="M44" s="68"/>
      <c r="W44" s="20" t="str">
        <f t="shared" si="0"/>
        <v/>
      </c>
      <c r="AA44" s="70"/>
      <c r="AB44" s="71"/>
      <c r="AC44" s="71"/>
      <c r="AD44" s="72" t="str">
        <f t="shared" ca="1" si="1"/>
        <v/>
      </c>
      <c r="AE44" s="72" t="str">
        <f t="shared" ca="1" si="2"/>
        <v/>
      </c>
      <c r="AF44" s="73"/>
      <c r="AG44" s="70"/>
      <c r="AH44" s="70"/>
      <c r="AI44" s="74" t="str">
        <f t="shared" si="3"/>
        <v/>
      </c>
      <c r="AJ44" s="75" t="str">
        <f t="shared" ca="1" si="4"/>
        <v/>
      </c>
      <c r="AK44" s="71"/>
      <c r="AL44" s="70"/>
      <c r="AM44" s="71"/>
      <c r="AN44" s="70"/>
    </row>
    <row r="45" spans="6:40" s="59" customFormat="1" x14ac:dyDescent="0.35">
      <c r="F45" s="65"/>
      <c r="I45" s="67"/>
      <c r="J45" s="67"/>
      <c r="M45" s="68"/>
      <c r="W45" s="20" t="str">
        <f t="shared" si="0"/>
        <v/>
      </c>
      <c r="AA45" s="70"/>
      <c r="AB45" s="71"/>
      <c r="AC45" s="71"/>
      <c r="AD45" s="72" t="str">
        <f t="shared" ca="1" si="1"/>
        <v/>
      </c>
      <c r="AE45" s="72" t="str">
        <f t="shared" ca="1" si="2"/>
        <v/>
      </c>
      <c r="AF45" s="73"/>
      <c r="AG45" s="70"/>
      <c r="AH45" s="70"/>
      <c r="AI45" s="74" t="str">
        <f t="shared" si="3"/>
        <v/>
      </c>
      <c r="AJ45" s="75" t="str">
        <f t="shared" ca="1" si="4"/>
        <v/>
      </c>
      <c r="AK45" s="71"/>
      <c r="AL45" s="70"/>
      <c r="AM45" s="71"/>
      <c r="AN45" s="70"/>
    </row>
    <row r="46" spans="6:40" s="59" customFormat="1" x14ac:dyDescent="0.35">
      <c r="F46" s="65"/>
      <c r="I46" s="67"/>
      <c r="J46" s="67"/>
      <c r="M46" s="68"/>
      <c r="W46" s="20" t="str">
        <f t="shared" si="0"/>
        <v/>
      </c>
      <c r="AA46" s="70"/>
      <c r="AB46" s="71"/>
      <c r="AC46" s="71"/>
      <c r="AD46" s="72" t="str">
        <f t="shared" ca="1" si="1"/>
        <v/>
      </c>
      <c r="AE46" s="72" t="str">
        <f t="shared" ca="1" si="2"/>
        <v/>
      </c>
      <c r="AF46" s="73"/>
      <c r="AG46" s="70"/>
      <c r="AH46" s="70"/>
      <c r="AI46" s="74" t="str">
        <f t="shared" si="3"/>
        <v/>
      </c>
      <c r="AJ46" s="75" t="str">
        <f t="shared" ca="1" si="4"/>
        <v/>
      </c>
      <c r="AK46" s="71"/>
      <c r="AL46" s="70"/>
      <c r="AM46" s="71"/>
      <c r="AN46" s="70"/>
    </row>
    <row r="47" spans="6:40" s="59" customFormat="1" x14ac:dyDescent="0.35">
      <c r="F47" s="65"/>
      <c r="I47" s="67"/>
      <c r="J47" s="67"/>
      <c r="M47" s="68"/>
      <c r="W47" s="20" t="str">
        <f t="shared" si="0"/>
        <v/>
      </c>
      <c r="AA47" s="70"/>
      <c r="AB47" s="71"/>
      <c r="AC47" s="71"/>
      <c r="AD47" s="72" t="str">
        <f t="shared" ca="1" si="1"/>
        <v/>
      </c>
      <c r="AE47" s="72" t="str">
        <f t="shared" ca="1" si="2"/>
        <v/>
      </c>
      <c r="AF47" s="73"/>
      <c r="AG47" s="70"/>
      <c r="AH47" s="70"/>
      <c r="AI47" s="74" t="str">
        <f t="shared" si="3"/>
        <v/>
      </c>
      <c r="AJ47" s="75" t="str">
        <f t="shared" ca="1" si="4"/>
        <v/>
      </c>
      <c r="AK47" s="71"/>
      <c r="AL47" s="70"/>
      <c r="AM47" s="71"/>
      <c r="AN47" s="70"/>
    </row>
    <row r="48" spans="6:40" s="59" customFormat="1" x14ac:dyDescent="0.35">
      <c r="F48" s="65"/>
      <c r="I48" s="67"/>
      <c r="J48" s="67"/>
      <c r="M48" s="68"/>
      <c r="W48" s="20" t="str">
        <f t="shared" si="0"/>
        <v/>
      </c>
      <c r="AA48" s="70"/>
      <c r="AB48" s="71"/>
      <c r="AC48" s="71"/>
      <c r="AD48" s="72" t="str">
        <f t="shared" ca="1" si="1"/>
        <v/>
      </c>
      <c r="AE48" s="72" t="str">
        <f t="shared" ca="1" si="2"/>
        <v/>
      </c>
      <c r="AF48" s="73"/>
      <c r="AG48" s="70"/>
      <c r="AH48" s="70"/>
      <c r="AI48" s="74" t="str">
        <f t="shared" si="3"/>
        <v/>
      </c>
      <c r="AJ48" s="75" t="str">
        <f t="shared" ca="1" si="4"/>
        <v/>
      </c>
      <c r="AK48" s="71"/>
      <c r="AL48" s="70"/>
      <c r="AM48" s="71"/>
      <c r="AN48" s="70"/>
    </row>
    <row r="49" spans="6:40" s="59" customFormat="1" x14ac:dyDescent="0.35">
      <c r="F49" s="65"/>
      <c r="I49" s="67"/>
      <c r="J49" s="67"/>
      <c r="M49" s="68"/>
      <c r="W49" s="20" t="str">
        <f t="shared" si="0"/>
        <v/>
      </c>
      <c r="AA49" s="70"/>
      <c r="AB49" s="71"/>
      <c r="AC49" s="71"/>
      <c r="AD49" s="72" t="str">
        <f t="shared" ca="1" si="1"/>
        <v/>
      </c>
      <c r="AE49" s="72" t="str">
        <f t="shared" ca="1" si="2"/>
        <v/>
      </c>
      <c r="AF49" s="73"/>
      <c r="AG49" s="70"/>
      <c r="AH49" s="70"/>
      <c r="AI49" s="74" t="str">
        <f t="shared" si="3"/>
        <v/>
      </c>
      <c r="AJ49" s="75" t="str">
        <f t="shared" ca="1" si="4"/>
        <v/>
      </c>
      <c r="AK49" s="71"/>
      <c r="AL49" s="70"/>
      <c r="AM49" s="71"/>
      <c r="AN49" s="70"/>
    </row>
    <row r="50" spans="6:40" s="59" customFormat="1" x14ac:dyDescent="0.35">
      <c r="F50" s="65"/>
      <c r="I50" s="67"/>
      <c r="J50" s="67"/>
      <c r="M50" s="68"/>
      <c r="W50" s="20" t="str">
        <f t="shared" si="0"/>
        <v/>
      </c>
      <c r="AA50" s="70"/>
      <c r="AB50" s="71"/>
      <c r="AC50" s="71"/>
      <c r="AD50" s="72" t="str">
        <f t="shared" ca="1" si="1"/>
        <v/>
      </c>
      <c r="AE50" s="72" t="str">
        <f t="shared" ca="1" si="2"/>
        <v/>
      </c>
      <c r="AF50" s="73"/>
      <c r="AG50" s="70"/>
      <c r="AH50" s="70"/>
      <c r="AI50" s="74" t="str">
        <f t="shared" si="3"/>
        <v/>
      </c>
      <c r="AJ50" s="75" t="str">
        <f t="shared" ca="1" si="4"/>
        <v/>
      </c>
      <c r="AK50" s="71"/>
      <c r="AL50" s="70"/>
      <c r="AM50" s="71"/>
      <c r="AN50" s="70"/>
    </row>
    <row r="51" spans="6:40" s="59" customFormat="1" x14ac:dyDescent="0.35">
      <c r="F51" s="65"/>
      <c r="I51" s="67"/>
      <c r="J51" s="67"/>
      <c r="M51" s="68"/>
      <c r="W51" s="20" t="str">
        <f t="shared" si="0"/>
        <v/>
      </c>
      <c r="AA51" s="70"/>
      <c r="AB51" s="71"/>
      <c r="AC51" s="71"/>
      <c r="AD51" s="72" t="str">
        <f t="shared" ca="1" si="1"/>
        <v/>
      </c>
      <c r="AE51" s="72" t="str">
        <f t="shared" ca="1" si="2"/>
        <v/>
      </c>
      <c r="AF51" s="73"/>
      <c r="AG51" s="70"/>
      <c r="AH51" s="70"/>
      <c r="AI51" s="74" t="str">
        <f t="shared" si="3"/>
        <v/>
      </c>
      <c r="AJ51" s="75" t="str">
        <f t="shared" ca="1" si="4"/>
        <v/>
      </c>
      <c r="AK51" s="71"/>
      <c r="AL51" s="70"/>
      <c r="AM51" s="71"/>
      <c r="AN51" s="70"/>
    </row>
    <row r="52" spans="6:40" s="59" customFormat="1" x14ac:dyDescent="0.35">
      <c r="F52" s="65"/>
      <c r="I52" s="67"/>
      <c r="J52" s="67"/>
      <c r="M52" s="68"/>
      <c r="W52" s="20" t="str">
        <f t="shared" si="0"/>
        <v/>
      </c>
      <c r="AA52" s="70"/>
      <c r="AB52" s="71"/>
      <c r="AC52" s="71"/>
      <c r="AD52" s="72" t="str">
        <f t="shared" ca="1" si="1"/>
        <v/>
      </c>
      <c r="AE52" s="72" t="str">
        <f t="shared" ca="1" si="2"/>
        <v/>
      </c>
      <c r="AF52" s="73"/>
      <c r="AG52" s="70"/>
      <c r="AH52" s="70"/>
      <c r="AI52" s="74" t="str">
        <f t="shared" si="3"/>
        <v/>
      </c>
      <c r="AJ52" s="75" t="str">
        <f t="shared" ca="1" si="4"/>
        <v/>
      </c>
      <c r="AK52" s="71"/>
      <c r="AL52" s="70"/>
      <c r="AM52" s="71"/>
      <c r="AN52" s="70"/>
    </row>
    <row r="53" spans="6:40" s="59" customFormat="1" x14ac:dyDescent="0.35">
      <c r="F53" s="65"/>
      <c r="I53" s="67"/>
      <c r="J53" s="67"/>
      <c r="M53" s="68"/>
      <c r="W53" s="20" t="str">
        <f t="shared" si="0"/>
        <v/>
      </c>
      <c r="AA53" s="70"/>
      <c r="AB53" s="71"/>
      <c r="AC53" s="71"/>
      <c r="AD53" s="72" t="str">
        <f t="shared" ca="1" si="1"/>
        <v/>
      </c>
      <c r="AE53" s="72" t="str">
        <f t="shared" ca="1" si="2"/>
        <v/>
      </c>
      <c r="AF53" s="73"/>
      <c r="AG53" s="70"/>
      <c r="AH53" s="70"/>
      <c r="AI53" s="74" t="str">
        <f t="shared" si="3"/>
        <v/>
      </c>
      <c r="AJ53" s="75" t="str">
        <f t="shared" ca="1" si="4"/>
        <v/>
      </c>
      <c r="AK53" s="71"/>
      <c r="AL53" s="70"/>
      <c r="AM53" s="71"/>
      <c r="AN53" s="70"/>
    </row>
    <row r="54" spans="6:40" s="59" customFormat="1" x14ac:dyDescent="0.35">
      <c r="F54" s="65"/>
      <c r="I54" s="67"/>
      <c r="J54" s="67"/>
      <c r="M54" s="68"/>
      <c r="W54" s="20" t="str">
        <f t="shared" si="0"/>
        <v/>
      </c>
      <c r="AA54" s="70"/>
      <c r="AB54" s="71"/>
      <c r="AC54" s="71"/>
      <c r="AD54" s="72" t="str">
        <f t="shared" ca="1" si="1"/>
        <v/>
      </c>
      <c r="AE54" s="72" t="str">
        <f t="shared" ca="1" si="2"/>
        <v/>
      </c>
      <c r="AF54" s="73"/>
      <c r="AG54" s="70"/>
      <c r="AH54" s="70"/>
      <c r="AI54" s="74" t="str">
        <f t="shared" si="3"/>
        <v/>
      </c>
      <c r="AJ54" s="75" t="str">
        <f t="shared" ca="1" si="4"/>
        <v/>
      </c>
      <c r="AK54" s="71"/>
      <c r="AL54" s="70"/>
      <c r="AM54" s="71"/>
      <c r="AN54" s="70"/>
    </row>
    <row r="55" spans="6:40" s="59" customFormat="1" x14ac:dyDescent="0.35">
      <c r="F55" s="65"/>
      <c r="I55" s="67"/>
      <c r="J55" s="67"/>
      <c r="M55" s="68"/>
      <c r="W55" s="20" t="str">
        <f t="shared" si="0"/>
        <v/>
      </c>
      <c r="AA55" s="70"/>
      <c r="AB55" s="71"/>
      <c r="AC55" s="71"/>
      <c r="AD55" s="72" t="str">
        <f t="shared" ca="1" si="1"/>
        <v/>
      </c>
      <c r="AE55" s="72" t="str">
        <f t="shared" ca="1" si="2"/>
        <v/>
      </c>
      <c r="AF55" s="73"/>
      <c r="AG55" s="70"/>
      <c r="AH55" s="70"/>
      <c r="AI55" s="74" t="str">
        <f t="shared" si="3"/>
        <v/>
      </c>
      <c r="AJ55" s="75" t="str">
        <f t="shared" ca="1" si="4"/>
        <v/>
      </c>
      <c r="AK55" s="71"/>
      <c r="AL55" s="70"/>
      <c r="AM55" s="71"/>
      <c r="AN55" s="70"/>
    </row>
    <row r="56" spans="6:40" s="59" customFormat="1" x14ac:dyDescent="0.35">
      <c r="F56" s="65"/>
      <c r="I56" s="67"/>
      <c r="J56" s="67"/>
      <c r="M56" s="68"/>
      <c r="W56" s="20" t="str">
        <f t="shared" si="0"/>
        <v/>
      </c>
      <c r="AA56" s="70"/>
      <c r="AB56" s="71"/>
      <c r="AC56" s="71"/>
      <c r="AD56" s="72" t="str">
        <f t="shared" ca="1" si="1"/>
        <v/>
      </c>
      <c r="AE56" s="72" t="str">
        <f t="shared" ca="1" si="2"/>
        <v/>
      </c>
      <c r="AF56" s="73"/>
      <c r="AG56" s="70"/>
      <c r="AH56" s="70"/>
      <c r="AI56" s="74" t="str">
        <f t="shared" si="3"/>
        <v/>
      </c>
      <c r="AJ56" s="75" t="str">
        <f t="shared" ca="1" si="4"/>
        <v/>
      </c>
      <c r="AK56" s="71"/>
      <c r="AL56" s="70"/>
      <c r="AM56" s="71"/>
      <c r="AN56" s="70"/>
    </row>
    <row r="57" spans="6:40" s="59" customFormat="1" x14ac:dyDescent="0.35">
      <c r="F57" s="65"/>
      <c r="I57" s="67"/>
      <c r="J57" s="67"/>
      <c r="M57" s="68"/>
      <c r="W57" s="20" t="str">
        <f t="shared" si="0"/>
        <v/>
      </c>
      <c r="AA57" s="70"/>
      <c r="AB57" s="71"/>
      <c r="AC57" s="71"/>
      <c r="AD57" s="72" t="str">
        <f t="shared" ca="1" si="1"/>
        <v/>
      </c>
      <c r="AE57" s="72" t="str">
        <f t="shared" ca="1" si="2"/>
        <v/>
      </c>
      <c r="AF57" s="73"/>
      <c r="AG57" s="70"/>
      <c r="AH57" s="70"/>
      <c r="AI57" s="74" t="str">
        <f t="shared" si="3"/>
        <v/>
      </c>
      <c r="AJ57" s="75" t="str">
        <f t="shared" ca="1" si="4"/>
        <v/>
      </c>
      <c r="AK57" s="71"/>
      <c r="AL57" s="70"/>
      <c r="AM57" s="71"/>
      <c r="AN57" s="70"/>
    </row>
    <row r="58" spans="6:40" s="59" customFormat="1" x14ac:dyDescent="0.35">
      <c r="F58" s="65"/>
      <c r="I58" s="67"/>
      <c r="J58" s="67"/>
      <c r="M58" s="68"/>
      <c r="W58" s="20" t="str">
        <f t="shared" si="0"/>
        <v/>
      </c>
      <c r="AA58" s="70"/>
      <c r="AB58" s="71"/>
      <c r="AC58" s="71"/>
      <c r="AD58" s="72" t="str">
        <f t="shared" ca="1" si="1"/>
        <v/>
      </c>
      <c r="AE58" s="72" t="str">
        <f t="shared" ca="1" si="2"/>
        <v/>
      </c>
      <c r="AF58" s="73"/>
      <c r="AG58" s="70"/>
      <c r="AH58" s="70"/>
      <c r="AI58" s="74" t="str">
        <f t="shared" si="3"/>
        <v/>
      </c>
      <c r="AJ58" s="75" t="str">
        <f t="shared" ca="1" si="4"/>
        <v/>
      </c>
      <c r="AK58" s="71"/>
      <c r="AL58" s="70"/>
      <c r="AM58" s="71"/>
      <c r="AN58" s="70"/>
    </row>
    <row r="59" spans="6:40" s="59" customFormat="1" x14ac:dyDescent="0.35">
      <c r="F59" s="65"/>
      <c r="I59" s="67"/>
      <c r="J59" s="67"/>
      <c r="M59" s="68"/>
      <c r="W59" s="20" t="str">
        <f t="shared" si="0"/>
        <v/>
      </c>
      <c r="AA59" s="70"/>
      <c r="AB59" s="71"/>
      <c r="AC59" s="71"/>
      <c r="AD59" s="72" t="str">
        <f t="shared" ca="1" si="1"/>
        <v/>
      </c>
      <c r="AE59" s="72" t="str">
        <f t="shared" ca="1" si="2"/>
        <v/>
      </c>
      <c r="AF59" s="73"/>
      <c r="AG59" s="70"/>
      <c r="AH59" s="70"/>
      <c r="AI59" s="74" t="str">
        <f t="shared" si="3"/>
        <v/>
      </c>
      <c r="AJ59" s="75" t="str">
        <f t="shared" ca="1" si="4"/>
        <v/>
      </c>
      <c r="AK59" s="71"/>
      <c r="AL59" s="70"/>
      <c r="AM59" s="71"/>
      <c r="AN59" s="70"/>
    </row>
    <row r="60" spans="6:40" s="59" customFormat="1" x14ac:dyDescent="0.35">
      <c r="F60" s="65"/>
      <c r="J60" s="67"/>
      <c r="M60" s="68"/>
      <c r="W60" s="20" t="str">
        <f t="shared" si="0"/>
        <v/>
      </c>
      <c r="AA60" s="70"/>
      <c r="AB60" s="71"/>
      <c r="AC60" s="71"/>
      <c r="AD60" s="72" t="str">
        <f t="shared" ca="1" si="1"/>
        <v/>
      </c>
      <c r="AE60" s="72" t="str">
        <f t="shared" ca="1" si="2"/>
        <v/>
      </c>
      <c r="AF60" s="73"/>
      <c r="AG60" s="70"/>
      <c r="AH60" s="70"/>
      <c r="AI60" s="74" t="str">
        <f t="shared" si="3"/>
        <v/>
      </c>
      <c r="AJ60" s="75" t="str">
        <f t="shared" ca="1" si="4"/>
        <v/>
      </c>
      <c r="AK60" s="71"/>
      <c r="AL60" s="70"/>
      <c r="AM60" s="71"/>
      <c r="AN60" s="70"/>
    </row>
    <row r="61" spans="6:40" s="59" customFormat="1" x14ac:dyDescent="0.35">
      <c r="F61" s="65"/>
      <c r="J61" s="67"/>
      <c r="M61" s="68"/>
      <c r="W61" s="20" t="str">
        <f t="shared" si="0"/>
        <v/>
      </c>
      <c r="AA61" s="70"/>
      <c r="AB61" s="71"/>
      <c r="AC61" s="71"/>
      <c r="AD61" s="72" t="str">
        <f t="shared" ca="1" si="1"/>
        <v/>
      </c>
      <c r="AE61" s="72" t="str">
        <f t="shared" ca="1" si="2"/>
        <v/>
      </c>
      <c r="AF61" s="73"/>
      <c r="AG61" s="70"/>
      <c r="AH61" s="70"/>
      <c r="AI61" s="74" t="str">
        <f t="shared" si="3"/>
        <v/>
      </c>
      <c r="AJ61" s="75" t="str">
        <f t="shared" ca="1" si="4"/>
        <v/>
      </c>
      <c r="AK61" s="71"/>
      <c r="AL61" s="70"/>
      <c r="AM61" s="71"/>
      <c r="AN61" s="70"/>
    </row>
    <row r="62" spans="6:40" s="59" customFormat="1" x14ac:dyDescent="0.35">
      <c r="F62" s="65"/>
      <c r="J62" s="67"/>
      <c r="M62" s="68"/>
      <c r="W62" s="20" t="str">
        <f t="shared" si="0"/>
        <v/>
      </c>
      <c r="AA62" s="70"/>
      <c r="AB62" s="71"/>
      <c r="AC62" s="71"/>
      <c r="AD62" s="72" t="str">
        <f t="shared" ca="1" si="1"/>
        <v/>
      </c>
      <c r="AE62" s="72" t="str">
        <f t="shared" ca="1" si="2"/>
        <v/>
      </c>
      <c r="AF62" s="73"/>
      <c r="AG62" s="70"/>
      <c r="AH62" s="70"/>
      <c r="AI62" s="74" t="str">
        <f t="shared" si="3"/>
        <v/>
      </c>
      <c r="AJ62" s="75" t="str">
        <f t="shared" ca="1" si="4"/>
        <v/>
      </c>
      <c r="AK62" s="71"/>
      <c r="AL62" s="70"/>
      <c r="AM62" s="71"/>
      <c r="AN62" s="70"/>
    </row>
    <row r="63" spans="6:40" s="59" customFormat="1" x14ac:dyDescent="0.35">
      <c r="F63" s="65"/>
      <c r="J63" s="67"/>
      <c r="M63" s="68"/>
      <c r="W63" s="20" t="str">
        <f t="shared" si="0"/>
        <v/>
      </c>
      <c r="AA63" s="70"/>
      <c r="AB63" s="71"/>
      <c r="AC63" s="71"/>
      <c r="AD63" s="72" t="str">
        <f t="shared" ca="1" si="1"/>
        <v/>
      </c>
      <c r="AE63" s="72" t="str">
        <f t="shared" ca="1" si="2"/>
        <v/>
      </c>
      <c r="AF63" s="73"/>
      <c r="AG63" s="70"/>
      <c r="AH63" s="70"/>
      <c r="AI63" s="74" t="str">
        <f t="shared" si="3"/>
        <v/>
      </c>
      <c r="AJ63" s="75" t="str">
        <f t="shared" ca="1" si="4"/>
        <v/>
      </c>
      <c r="AK63" s="71"/>
      <c r="AL63" s="70"/>
      <c r="AM63" s="71"/>
      <c r="AN63" s="70"/>
    </row>
    <row r="64" spans="6:40" s="59" customFormat="1" x14ac:dyDescent="0.35">
      <c r="F64" s="65"/>
      <c r="J64" s="67"/>
      <c r="M64" s="68"/>
      <c r="W64" s="20" t="str">
        <f t="shared" si="0"/>
        <v/>
      </c>
      <c r="AA64" s="70"/>
      <c r="AB64" s="71"/>
      <c r="AC64" s="71"/>
      <c r="AD64" s="72" t="str">
        <f t="shared" ca="1" si="1"/>
        <v/>
      </c>
      <c r="AE64" s="72" t="str">
        <f t="shared" ca="1" si="2"/>
        <v/>
      </c>
      <c r="AF64" s="73"/>
      <c r="AG64" s="70"/>
      <c r="AH64" s="70"/>
      <c r="AI64" s="74" t="str">
        <f t="shared" si="3"/>
        <v/>
      </c>
      <c r="AJ64" s="75" t="str">
        <f t="shared" ca="1" si="4"/>
        <v/>
      </c>
      <c r="AK64" s="71"/>
      <c r="AL64" s="70"/>
      <c r="AM64" s="71"/>
      <c r="AN64" s="70"/>
    </row>
    <row r="65" spans="6:40" s="59" customFormat="1" x14ac:dyDescent="0.35">
      <c r="F65" s="65"/>
      <c r="J65" s="67"/>
      <c r="M65" s="68"/>
      <c r="W65" s="20" t="str">
        <f t="shared" si="0"/>
        <v/>
      </c>
      <c r="AA65" s="70"/>
      <c r="AB65" s="71"/>
      <c r="AC65" s="71"/>
      <c r="AD65" s="72" t="str">
        <f t="shared" ca="1" si="1"/>
        <v/>
      </c>
      <c r="AE65" s="72" t="str">
        <f t="shared" ca="1" si="2"/>
        <v/>
      </c>
      <c r="AF65" s="73"/>
      <c r="AG65" s="70"/>
      <c r="AH65" s="70"/>
      <c r="AI65" s="74" t="str">
        <f t="shared" si="3"/>
        <v/>
      </c>
      <c r="AJ65" s="75" t="str">
        <f t="shared" ca="1" si="4"/>
        <v/>
      </c>
      <c r="AK65" s="71"/>
      <c r="AL65" s="70"/>
      <c r="AM65" s="71"/>
      <c r="AN65" s="70"/>
    </row>
    <row r="66" spans="6:40" s="59" customFormat="1" x14ac:dyDescent="0.35">
      <c r="F66" s="65"/>
      <c r="J66" s="67"/>
      <c r="M66" s="68"/>
      <c r="W66" s="20" t="str">
        <f t="shared" si="0"/>
        <v/>
      </c>
      <c r="AA66" s="70"/>
      <c r="AB66" s="71"/>
      <c r="AC66" s="71"/>
      <c r="AD66" s="72" t="str">
        <f t="shared" ca="1" si="1"/>
        <v/>
      </c>
      <c r="AE66" s="72" t="str">
        <f t="shared" ca="1" si="2"/>
        <v/>
      </c>
      <c r="AF66" s="73"/>
      <c r="AG66" s="70"/>
      <c r="AH66" s="70"/>
      <c r="AI66" s="74" t="str">
        <f t="shared" si="3"/>
        <v/>
      </c>
      <c r="AJ66" s="75" t="str">
        <f t="shared" ca="1" si="4"/>
        <v/>
      </c>
      <c r="AK66" s="71"/>
      <c r="AL66" s="70"/>
      <c r="AM66" s="71"/>
      <c r="AN66" s="70"/>
    </row>
    <row r="67" spans="6:40" s="59" customFormat="1" x14ac:dyDescent="0.35">
      <c r="F67" s="65"/>
      <c r="J67" s="67"/>
      <c r="M67" s="68"/>
      <c r="W67" s="20" t="str">
        <f t="shared" si="0"/>
        <v/>
      </c>
      <c r="AA67" s="70"/>
      <c r="AB67" s="71"/>
      <c r="AC67" s="71"/>
      <c r="AD67" s="72" t="str">
        <f t="shared" ca="1" si="1"/>
        <v/>
      </c>
      <c r="AE67" s="72" t="str">
        <f t="shared" ca="1" si="2"/>
        <v/>
      </c>
      <c r="AF67" s="73"/>
      <c r="AG67" s="70"/>
      <c r="AH67" s="70"/>
      <c r="AI67" s="74" t="str">
        <f t="shared" si="3"/>
        <v/>
      </c>
      <c r="AJ67" s="75" t="str">
        <f t="shared" ca="1" si="4"/>
        <v/>
      </c>
      <c r="AK67" s="71"/>
      <c r="AL67" s="70"/>
      <c r="AM67" s="71"/>
      <c r="AN67" s="70"/>
    </row>
    <row r="68" spans="6:40" s="59" customFormat="1" x14ac:dyDescent="0.35">
      <c r="F68" s="65"/>
      <c r="J68" s="67"/>
      <c r="M68" s="68"/>
      <c r="W68" s="20" t="str">
        <f t="shared" si="0"/>
        <v/>
      </c>
      <c r="AA68" s="70"/>
      <c r="AB68" s="71"/>
      <c r="AC68" s="71"/>
      <c r="AD68" s="72" t="str">
        <f t="shared" ca="1" si="1"/>
        <v/>
      </c>
      <c r="AE68" s="72" t="str">
        <f t="shared" ca="1" si="2"/>
        <v/>
      </c>
      <c r="AF68" s="73"/>
      <c r="AG68" s="70"/>
      <c r="AH68" s="70"/>
      <c r="AI68" s="74" t="str">
        <f t="shared" si="3"/>
        <v/>
      </c>
      <c r="AJ68" s="75" t="str">
        <f t="shared" ca="1" si="4"/>
        <v/>
      </c>
      <c r="AK68" s="71"/>
      <c r="AL68" s="70"/>
      <c r="AM68" s="71"/>
      <c r="AN68" s="70"/>
    </row>
    <row r="69" spans="6:40" s="59" customFormat="1" x14ac:dyDescent="0.35">
      <c r="F69" s="65"/>
      <c r="J69" s="67"/>
      <c r="M69" s="68"/>
      <c r="W69" s="20" t="str">
        <f t="shared" si="0"/>
        <v/>
      </c>
      <c r="AA69" s="70"/>
      <c r="AB69" s="71"/>
      <c r="AC69" s="71"/>
      <c r="AD69" s="72" t="str">
        <f t="shared" ca="1" si="1"/>
        <v/>
      </c>
      <c r="AE69" s="72" t="str">
        <f t="shared" ca="1" si="2"/>
        <v/>
      </c>
      <c r="AF69" s="73"/>
      <c r="AG69" s="70"/>
      <c r="AH69" s="70"/>
      <c r="AI69" s="74" t="str">
        <f t="shared" si="3"/>
        <v/>
      </c>
      <c r="AJ69" s="75" t="str">
        <f t="shared" ca="1" si="4"/>
        <v/>
      </c>
      <c r="AK69" s="71"/>
      <c r="AL69" s="70"/>
      <c r="AM69" s="71"/>
      <c r="AN69" s="70"/>
    </row>
    <row r="70" spans="6:40" s="59" customFormat="1" x14ac:dyDescent="0.35">
      <c r="F70" s="65"/>
      <c r="J70" s="67"/>
      <c r="M70" s="68"/>
      <c r="W70" s="20" t="str">
        <f t="shared" si="0"/>
        <v/>
      </c>
      <c r="AA70" s="70"/>
      <c r="AB70" s="71"/>
      <c r="AC70" s="71"/>
      <c r="AD70" s="72" t="str">
        <f t="shared" ca="1" si="1"/>
        <v/>
      </c>
      <c r="AE70" s="72" t="str">
        <f t="shared" ca="1" si="2"/>
        <v/>
      </c>
      <c r="AF70" s="73"/>
      <c r="AG70" s="70"/>
      <c r="AH70" s="70"/>
      <c r="AI70" s="74" t="str">
        <f t="shared" si="3"/>
        <v/>
      </c>
      <c r="AJ70" s="75" t="str">
        <f t="shared" ca="1" si="4"/>
        <v/>
      </c>
      <c r="AK70" s="71"/>
      <c r="AL70" s="70"/>
      <c r="AM70" s="71"/>
      <c r="AN70" s="70"/>
    </row>
    <row r="71" spans="6:40" s="59" customFormat="1" x14ac:dyDescent="0.35">
      <c r="F71" s="65"/>
      <c r="J71" s="67"/>
      <c r="M71" s="68"/>
      <c r="W71" s="20" t="str">
        <f t="shared" ref="W71:W134" si="5">IFERROR(VLOOKUP($V71,$AU$5:$AV$13,2,0),"")</f>
        <v/>
      </c>
      <c r="AA71" s="70"/>
      <c r="AB71" s="71"/>
      <c r="AC71" s="71"/>
      <c r="AD71" s="72" t="str">
        <f t="shared" ref="AD71:AD134" ca="1" si="6">IF($U71="Closed","",(IF($AC71=0,"",(IF(OR($AI71="",$AI71="Enter the date"),NETWORKDAYS($AC71,TODAY()),NETWORKDAYS($AC71,$AI71))))))</f>
        <v/>
      </c>
      <c r="AE71" s="72" t="str">
        <f t="shared" ref="AE71:AE134" ca="1" si="7">IF(AND($U71="Open",OR($AI71="",$AI71="Enter the date")),$AD71,IFERROR($AD71+$AJ71,""))</f>
        <v/>
      </c>
      <c r="AF71" s="73"/>
      <c r="AG71" s="70"/>
      <c r="AH71" s="70"/>
      <c r="AI71" s="74" t="str">
        <f t="shared" ref="AI71:AI134" si="8">IF($AC71="","",(IF($AH71=0,IF($AG71=0,IF($AF71=0,"Enter the date",$AF71),$AG71),$AH71)))</f>
        <v/>
      </c>
      <c r="AJ71" s="75" t="str">
        <f t="shared" ref="AJ71:AJ134" ca="1" si="9">IF($U71="Closed","",IF(AI71="","",(IF($AI71="Enter The date","",(NETWORKDAYS($AI71,TODAY()))-1))))</f>
        <v/>
      </c>
      <c r="AK71" s="71"/>
      <c r="AL71" s="70"/>
      <c r="AM71" s="71"/>
      <c r="AN71" s="70"/>
    </row>
    <row r="72" spans="6:40" s="59" customFormat="1" x14ac:dyDescent="0.35">
      <c r="F72" s="65"/>
      <c r="J72" s="67"/>
      <c r="M72" s="68"/>
      <c r="W72" s="20" t="str">
        <f t="shared" si="5"/>
        <v/>
      </c>
      <c r="AA72" s="70"/>
      <c r="AB72" s="71"/>
      <c r="AC72" s="71"/>
      <c r="AD72" s="72" t="str">
        <f t="shared" ca="1" si="6"/>
        <v/>
      </c>
      <c r="AE72" s="72" t="str">
        <f t="shared" ca="1" si="7"/>
        <v/>
      </c>
      <c r="AF72" s="73"/>
      <c r="AG72" s="70"/>
      <c r="AH72" s="70"/>
      <c r="AI72" s="74" t="str">
        <f t="shared" si="8"/>
        <v/>
      </c>
      <c r="AJ72" s="75" t="str">
        <f t="shared" ca="1" si="9"/>
        <v/>
      </c>
      <c r="AK72" s="71"/>
      <c r="AL72" s="70"/>
      <c r="AM72" s="71"/>
      <c r="AN72" s="70"/>
    </row>
    <row r="73" spans="6:40" s="59" customFormat="1" x14ac:dyDescent="0.35">
      <c r="F73" s="65"/>
      <c r="J73" s="67"/>
      <c r="M73" s="68"/>
      <c r="W73" s="20" t="str">
        <f t="shared" si="5"/>
        <v/>
      </c>
      <c r="AA73" s="70"/>
      <c r="AB73" s="71"/>
      <c r="AC73" s="71"/>
      <c r="AD73" s="72" t="str">
        <f t="shared" ca="1" si="6"/>
        <v/>
      </c>
      <c r="AE73" s="72" t="str">
        <f t="shared" ca="1" si="7"/>
        <v/>
      </c>
      <c r="AF73" s="73"/>
      <c r="AG73" s="70"/>
      <c r="AH73" s="70"/>
      <c r="AI73" s="74" t="str">
        <f t="shared" si="8"/>
        <v/>
      </c>
      <c r="AJ73" s="75" t="str">
        <f t="shared" ca="1" si="9"/>
        <v/>
      </c>
      <c r="AK73" s="71"/>
      <c r="AL73" s="70"/>
      <c r="AM73" s="71"/>
      <c r="AN73" s="70"/>
    </row>
    <row r="74" spans="6:40" s="59" customFormat="1" x14ac:dyDescent="0.35">
      <c r="F74" s="65"/>
      <c r="J74" s="67"/>
      <c r="M74" s="68"/>
      <c r="W74" s="20" t="str">
        <f t="shared" si="5"/>
        <v/>
      </c>
      <c r="AA74" s="70"/>
      <c r="AB74" s="71"/>
      <c r="AC74" s="71"/>
      <c r="AD74" s="72" t="str">
        <f t="shared" ca="1" si="6"/>
        <v/>
      </c>
      <c r="AE74" s="72" t="str">
        <f t="shared" ca="1" si="7"/>
        <v/>
      </c>
      <c r="AF74" s="73"/>
      <c r="AG74" s="70"/>
      <c r="AH74" s="70"/>
      <c r="AI74" s="74" t="str">
        <f t="shared" si="8"/>
        <v/>
      </c>
      <c r="AJ74" s="75" t="str">
        <f t="shared" ca="1" si="9"/>
        <v/>
      </c>
      <c r="AK74" s="71"/>
      <c r="AL74" s="70"/>
      <c r="AM74" s="71"/>
      <c r="AN74" s="70"/>
    </row>
    <row r="75" spans="6:40" s="59" customFormat="1" x14ac:dyDescent="0.35">
      <c r="F75" s="65"/>
      <c r="J75" s="67"/>
      <c r="M75" s="68"/>
      <c r="W75" s="20" t="str">
        <f t="shared" si="5"/>
        <v/>
      </c>
      <c r="AA75" s="70"/>
      <c r="AB75" s="71"/>
      <c r="AC75" s="71"/>
      <c r="AD75" s="72" t="str">
        <f t="shared" ca="1" si="6"/>
        <v/>
      </c>
      <c r="AE75" s="72" t="str">
        <f t="shared" ca="1" si="7"/>
        <v/>
      </c>
      <c r="AF75" s="73"/>
      <c r="AG75" s="70"/>
      <c r="AH75" s="70"/>
      <c r="AI75" s="74" t="str">
        <f t="shared" si="8"/>
        <v/>
      </c>
      <c r="AJ75" s="75" t="str">
        <f t="shared" ca="1" si="9"/>
        <v/>
      </c>
      <c r="AK75" s="71"/>
      <c r="AL75" s="70"/>
      <c r="AM75" s="71"/>
      <c r="AN75" s="70"/>
    </row>
    <row r="76" spans="6:40" s="59" customFormat="1" x14ac:dyDescent="0.35">
      <c r="F76" s="65"/>
      <c r="J76" s="67"/>
      <c r="M76" s="68"/>
      <c r="W76" s="20" t="str">
        <f t="shared" si="5"/>
        <v/>
      </c>
      <c r="AA76" s="70"/>
      <c r="AB76" s="71"/>
      <c r="AC76" s="71"/>
      <c r="AD76" s="72" t="str">
        <f t="shared" ca="1" si="6"/>
        <v/>
      </c>
      <c r="AE76" s="72" t="str">
        <f t="shared" ca="1" si="7"/>
        <v/>
      </c>
      <c r="AF76" s="73"/>
      <c r="AG76" s="70"/>
      <c r="AH76" s="70"/>
      <c r="AI76" s="74" t="str">
        <f t="shared" si="8"/>
        <v/>
      </c>
      <c r="AJ76" s="75" t="str">
        <f t="shared" ca="1" si="9"/>
        <v/>
      </c>
      <c r="AK76" s="71"/>
      <c r="AL76" s="70"/>
      <c r="AM76" s="71"/>
      <c r="AN76" s="70"/>
    </row>
    <row r="77" spans="6:40" s="59" customFormat="1" x14ac:dyDescent="0.35">
      <c r="F77" s="65"/>
      <c r="J77" s="67"/>
      <c r="M77" s="68"/>
      <c r="W77" s="20" t="str">
        <f t="shared" si="5"/>
        <v/>
      </c>
      <c r="AA77" s="70"/>
      <c r="AB77" s="71"/>
      <c r="AC77" s="71"/>
      <c r="AD77" s="72" t="str">
        <f t="shared" ca="1" si="6"/>
        <v/>
      </c>
      <c r="AE77" s="72" t="str">
        <f t="shared" ca="1" si="7"/>
        <v/>
      </c>
      <c r="AF77" s="73"/>
      <c r="AG77" s="70"/>
      <c r="AH77" s="70"/>
      <c r="AI77" s="74" t="str">
        <f t="shared" si="8"/>
        <v/>
      </c>
      <c r="AJ77" s="75" t="str">
        <f t="shared" ca="1" si="9"/>
        <v/>
      </c>
      <c r="AK77" s="71"/>
      <c r="AL77" s="70"/>
      <c r="AM77" s="71"/>
      <c r="AN77" s="70"/>
    </row>
    <row r="78" spans="6:40" s="59" customFormat="1" x14ac:dyDescent="0.35">
      <c r="F78" s="65"/>
      <c r="J78" s="67"/>
      <c r="M78" s="68"/>
      <c r="W78" s="20" t="str">
        <f t="shared" si="5"/>
        <v/>
      </c>
      <c r="AA78" s="70"/>
      <c r="AB78" s="71"/>
      <c r="AC78" s="71"/>
      <c r="AD78" s="72" t="str">
        <f t="shared" ca="1" si="6"/>
        <v/>
      </c>
      <c r="AE78" s="72" t="str">
        <f t="shared" ca="1" si="7"/>
        <v/>
      </c>
      <c r="AF78" s="73"/>
      <c r="AG78" s="70"/>
      <c r="AH78" s="70"/>
      <c r="AI78" s="74" t="str">
        <f t="shared" si="8"/>
        <v/>
      </c>
      <c r="AJ78" s="75" t="str">
        <f t="shared" ca="1" si="9"/>
        <v/>
      </c>
      <c r="AK78" s="71"/>
      <c r="AL78" s="70"/>
      <c r="AM78" s="71"/>
      <c r="AN78" s="70"/>
    </row>
    <row r="79" spans="6:40" s="59" customFormat="1" x14ac:dyDescent="0.35">
      <c r="F79" s="65"/>
      <c r="J79" s="67"/>
      <c r="M79" s="68"/>
      <c r="W79" s="20" t="str">
        <f t="shared" si="5"/>
        <v/>
      </c>
      <c r="AA79" s="70"/>
      <c r="AB79" s="71"/>
      <c r="AC79" s="71"/>
      <c r="AD79" s="72" t="str">
        <f t="shared" ca="1" si="6"/>
        <v/>
      </c>
      <c r="AE79" s="72" t="str">
        <f t="shared" ca="1" si="7"/>
        <v/>
      </c>
      <c r="AF79" s="73"/>
      <c r="AG79" s="70"/>
      <c r="AH79" s="70"/>
      <c r="AI79" s="74" t="str">
        <f t="shared" si="8"/>
        <v/>
      </c>
      <c r="AJ79" s="75" t="str">
        <f t="shared" ca="1" si="9"/>
        <v/>
      </c>
      <c r="AK79" s="71"/>
      <c r="AL79" s="70"/>
      <c r="AM79" s="71"/>
      <c r="AN79" s="70"/>
    </row>
    <row r="80" spans="6:40" s="59" customFormat="1" x14ac:dyDescent="0.35">
      <c r="F80" s="65"/>
      <c r="J80" s="67"/>
      <c r="M80" s="68"/>
      <c r="W80" s="20" t="str">
        <f t="shared" si="5"/>
        <v/>
      </c>
      <c r="AA80" s="70"/>
      <c r="AB80" s="71"/>
      <c r="AC80" s="71"/>
      <c r="AD80" s="72" t="str">
        <f t="shared" ca="1" si="6"/>
        <v/>
      </c>
      <c r="AE80" s="72" t="str">
        <f t="shared" ca="1" si="7"/>
        <v/>
      </c>
      <c r="AF80" s="73"/>
      <c r="AG80" s="70"/>
      <c r="AH80" s="70"/>
      <c r="AI80" s="74" t="str">
        <f t="shared" si="8"/>
        <v/>
      </c>
      <c r="AJ80" s="75" t="str">
        <f t="shared" ca="1" si="9"/>
        <v/>
      </c>
      <c r="AK80" s="71"/>
      <c r="AL80" s="70"/>
      <c r="AM80" s="71"/>
      <c r="AN80" s="70"/>
    </row>
    <row r="81" spans="6:40" s="59" customFormat="1" x14ac:dyDescent="0.35">
      <c r="F81" s="65"/>
      <c r="J81" s="67"/>
      <c r="M81" s="68"/>
      <c r="W81" s="20" t="str">
        <f t="shared" si="5"/>
        <v/>
      </c>
      <c r="AA81" s="70"/>
      <c r="AB81" s="71"/>
      <c r="AC81" s="71"/>
      <c r="AD81" s="72" t="str">
        <f t="shared" ca="1" si="6"/>
        <v/>
      </c>
      <c r="AE81" s="72" t="str">
        <f t="shared" ca="1" si="7"/>
        <v/>
      </c>
      <c r="AF81" s="73"/>
      <c r="AG81" s="70"/>
      <c r="AH81" s="70"/>
      <c r="AI81" s="74" t="str">
        <f t="shared" si="8"/>
        <v/>
      </c>
      <c r="AJ81" s="75" t="str">
        <f t="shared" ca="1" si="9"/>
        <v/>
      </c>
      <c r="AK81" s="71"/>
      <c r="AL81" s="70"/>
      <c r="AM81" s="71"/>
      <c r="AN81" s="70"/>
    </row>
    <row r="82" spans="6:40" s="59" customFormat="1" x14ac:dyDescent="0.35">
      <c r="F82" s="65"/>
      <c r="J82" s="67"/>
      <c r="M82" s="68"/>
      <c r="W82" s="20" t="str">
        <f t="shared" si="5"/>
        <v/>
      </c>
      <c r="AA82" s="70"/>
      <c r="AB82" s="71"/>
      <c r="AC82" s="71"/>
      <c r="AD82" s="72" t="str">
        <f t="shared" ca="1" si="6"/>
        <v/>
      </c>
      <c r="AE82" s="72" t="str">
        <f t="shared" ca="1" si="7"/>
        <v/>
      </c>
      <c r="AF82" s="73"/>
      <c r="AG82" s="70"/>
      <c r="AH82" s="70"/>
      <c r="AI82" s="74" t="str">
        <f t="shared" si="8"/>
        <v/>
      </c>
      <c r="AJ82" s="75" t="str">
        <f t="shared" ca="1" si="9"/>
        <v/>
      </c>
      <c r="AK82" s="71"/>
      <c r="AL82" s="70"/>
      <c r="AM82" s="71"/>
      <c r="AN82" s="70"/>
    </row>
    <row r="83" spans="6:40" s="59" customFormat="1" x14ac:dyDescent="0.35">
      <c r="F83" s="65"/>
      <c r="J83" s="67"/>
      <c r="M83" s="68"/>
      <c r="W83" s="20" t="str">
        <f t="shared" si="5"/>
        <v/>
      </c>
      <c r="AA83" s="70"/>
      <c r="AB83" s="71"/>
      <c r="AC83" s="71"/>
      <c r="AD83" s="72" t="str">
        <f t="shared" ca="1" si="6"/>
        <v/>
      </c>
      <c r="AE83" s="72" t="str">
        <f t="shared" ca="1" si="7"/>
        <v/>
      </c>
      <c r="AF83" s="73"/>
      <c r="AG83" s="70"/>
      <c r="AH83" s="70"/>
      <c r="AI83" s="74" t="str">
        <f t="shared" si="8"/>
        <v/>
      </c>
      <c r="AJ83" s="75" t="str">
        <f t="shared" ca="1" si="9"/>
        <v/>
      </c>
      <c r="AK83" s="71"/>
      <c r="AL83" s="70"/>
      <c r="AM83" s="71"/>
      <c r="AN83" s="70"/>
    </row>
    <row r="84" spans="6:40" s="59" customFormat="1" x14ac:dyDescent="0.35">
      <c r="F84" s="65"/>
      <c r="J84" s="67"/>
      <c r="M84" s="68"/>
      <c r="W84" s="20" t="str">
        <f t="shared" si="5"/>
        <v/>
      </c>
      <c r="AA84" s="70"/>
      <c r="AB84" s="71"/>
      <c r="AC84" s="71"/>
      <c r="AD84" s="72" t="str">
        <f t="shared" ca="1" si="6"/>
        <v/>
      </c>
      <c r="AE84" s="72" t="str">
        <f t="shared" ca="1" si="7"/>
        <v/>
      </c>
      <c r="AF84" s="73"/>
      <c r="AG84" s="70"/>
      <c r="AH84" s="70"/>
      <c r="AI84" s="74" t="str">
        <f t="shared" si="8"/>
        <v/>
      </c>
      <c r="AJ84" s="75" t="str">
        <f t="shared" ca="1" si="9"/>
        <v/>
      </c>
      <c r="AK84" s="71"/>
      <c r="AL84" s="70"/>
      <c r="AM84" s="71"/>
      <c r="AN84" s="70"/>
    </row>
    <row r="85" spans="6:40" s="59" customFormat="1" x14ac:dyDescent="0.35">
      <c r="F85" s="65"/>
      <c r="J85" s="67"/>
      <c r="M85" s="68"/>
      <c r="W85" s="20" t="str">
        <f t="shared" si="5"/>
        <v/>
      </c>
      <c r="AA85" s="70"/>
      <c r="AB85" s="71"/>
      <c r="AC85" s="71"/>
      <c r="AD85" s="72" t="str">
        <f t="shared" ca="1" si="6"/>
        <v/>
      </c>
      <c r="AE85" s="72" t="str">
        <f t="shared" ca="1" si="7"/>
        <v/>
      </c>
      <c r="AF85" s="73"/>
      <c r="AG85" s="70"/>
      <c r="AH85" s="70"/>
      <c r="AI85" s="74" t="str">
        <f t="shared" si="8"/>
        <v/>
      </c>
      <c r="AJ85" s="75" t="str">
        <f t="shared" ca="1" si="9"/>
        <v/>
      </c>
      <c r="AK85" s="71"/>
      <c r="AL85" s="70"/>
      <c r="AM85" s="71"/>
      <c r="AN85" s="70"/>
    </row>
    <row r="86" spans="6:40" s="59" customFormat="1" x14ac:dyDescent="0.35">
      <c r="F86" s="65"/>
      <c r="J86" s="67"/>
      <c r="M86" s="68"/>
      <c r="W86" s="20" t="str">
        <f t="shared" si="5"/>
        <v/>
      </c>
      <c r="AA86" s="70"/>
      <c r="AB86" s="71"/>
      <c r="AC86" s="71"/>
      <c r="AD86" s="72" t="str">
        <f t="shared" ca="1" si="6"/>
        <v/>
      </c>
      <c r="AE86" s="72" t="str">
        <f t="shared" ca="1" si="7"/>
        <v/>
      </c>
      <c r="AF86" s="73"/>
      <c r="AG86" s="70"/>
      <c r="AH86" s="70"/>
      <c r="AI86" s="74" t="str">
        <f t="shared" si="8"/>
        <v/>
      </c>
      <c r="AJ86" s="75" t="str">
        <f t="shared" ca="1" si="9"/>
        <v/>
      </c>
      <c r="AK86" s="71"/>
      <c r="AL86" s="70"/>
      <c r="AM86" s="71"/>
      <c r="AN86" s="70"/>
    </row>
    <row r="87" spans="6:40" s="59" customFormat="1" x14ac:dyDescent="0.35">
      <c r="F87" s="65"/>
      <c r="J87" s="67"/>
      <c r="M87" s="68"/>
      <c r="W87" s="20" t="str">
        <f t="shared" si="5"/>
        <v/>
      </c>
      <c r="AA87" s="70"/>
      <c r="AB87" s="71"/>
      <c r="AC87" s="71"/>
      <c r="AD87" s="72" t="str">
        <f t="shared" ca="1" si="6"/>
        <v/>
      </c>
      <c r="AE87" s="72" t="str">
        <f t="shared" ca="1" si="7"/>
        <v/>
      </c>
      <c r="AF87" s="73"/>
      <c r="AG87" s="70"/>
      <c r="AH87" s="70"/>
      <c r="AI87" s="74" t="str">
        <f t="shared" si="8"/>
        <v/>
      </c>
      <c r="AJ87" s="75" t="str">
        <f t="shared" ca="1" si="9"/>
        <v/>
      </c>
      <c r="AK87" s="71"/>
      <c r="AL87" s="70"/>
      <c r="AM87" s="71"/>
      <c r="AN87" s="70"/>
    </row>
    <row r="88" spans="6:40" s="59" customFormat="1" x14ac:dyDescent="0.35">
      <c r="F88" s="65"/>
      <c r="J88" s="67"/>
      <c r="M88" s="68"/>
      <c r="W88" s="20" t="str">
        <f t="shared" si="5"/>
        <v/>
      </c>
      <c r="AA88" s="70"/>
      <c r="AB88" s="71"/>
      <c r="AC88" s="71"/>
      <c r="AD88" s="72" t="str">
        <f t="shared" ca="1" si="6"/>
        <v/>
      </c>
      <c r="AE88" s="72" t="str">
        <f t="shared" ca="1" si="7"/>
        <v/>
      </c>
      <c r="AF88" s="73"/>
      <c r="AG88" s="70"/>
      <c r="AH88" s="70"/>
      <c r="AI88" s="74" t="str">
        <f t="shared" si="8"/>
        <v/>
      </c>
      <c r="AJ88" s="75" t="str">
        <f t="shared" ca="1" si="9"/>
        <v/>
      </c>
      <c r="AK88" s="71"/>
      <c r="AL88" s="70"/>
      <c r="AM88" s="71"/>
      <c r="AN88" s="70"/>
    </row>
    <row r="89" spans="6:40" s="59" customFormat="1" x14ac:dyDescent="0.35">
      <c r="F89" s="65"/>
      <c r="J89" s="67"/>
      <c r="M89" s="68"/>
      <c r="W89" s="20" t="str">
        <f t="shared" si="5"/>
        <v/>
      </c>
      <c r="AA89" s="70"/>
      <c r="AB89" s="71"/>
      <c r="AC89" s="71"/>
      <c r="AD89" s="72" t="str">
        <f t="shared" ca="1" si="6"/>
        <v/>
      </c>
      <c r="AE89" s="72" t="str">
        <f t="shared" ca="1" si="7"/>
        <v/>
      </c>
      <c r="AF89" s="73"/>
      <c r="AG89" s="70"/>
      <c r="AH89" s="70"/>
      <c r="AI89" s="74" t="str">
        <f t="shared" si="8"/>
        <v/>
      </c>
      <c r="AJ89" s="75" t="str">
        <f t="shared" ca="1" si="9"/>
        <v/>
      </c>
      <c r="AK89" s="71"/>
      <c r="AL89" s="70"/>
      <c r="AM89" s="71"/>
      <c r="AN89" s="70"/>
    </row>
    <row r="90" spans="6:40" s="59" customFormat="1" x14ac:dyDescent="0.35">
      <c r="F90" s="65"/>
      <c r="J90" s="67"/>
      <c r="M90" s="68"/>
      <c r="W90" s="20" t="str">
        <f t="shared" si="5"/>
        <v/>
      </c>
      <c r="AA90" s="70"/>
      <c r="AB90" s="71"/>
      <c r="AC90" s="71"/>
      <c r="AD90" s="72" t="str">
        <f t="shared" ca="1" si="6"/>
        <v/>
      </c>
      <c r="AE90" s="72" t="str">
        <f t="shared" ca="1" si="7"/>
        <v/>
      </c>
      <c r="AF90" s="73"/>
      <c r="AG90" s="70"/>
      <c r="AH90" s="70"/>
      <c r="AI90" s="74" t="str">
        <f t="shared" si="8"/>
        <v/>
      </c>
      <c r="AJ90" s="75" t="str">
        <f t="shared" ca="1" si="9"/>
        <v/>
      </c>
      <c r="AK90" s="71"/>
      <c r="AL90" s="70"/>
      <c r="AM90" s="71"/>
      <c r="AN90" s="70"/>
    </row>
    <row r="91" spans="6:40" s="59" customFormat="1" x14ac:dyDescent="0.35">
      <c r="F91" s="65"/>
      <c r="J91" s="67"/>
      <c r="M91" s="68"/>
      <c r="W91" s="20" t="str">
        <f t="shared" si="5"/>
        <v/>
      </c>
      <c r="AA91" s="70"/>
      <c r="AB91" s="71"/>
      <c r="AC91" s="71"/>
      <c r="AD91" s="72" t="str">
        <f t="shared" ca="1" si="6"/>
        <v/>
      </c>
      <c r="AE91" s="72" t="str">
        <f t="shared" ca="1" si="7"/>
        <v/>
      </c>
      <c r="AF91" s="73"/>
      <c r="AG91" s="70"/>
      <c r="AH91" s="70"/>
      <c r="AI91" s="74" t="str">
        <f t="shared" si="8"/>
        <v/>
      </c>
      <c r="AJ91" s="75" t="str">
        <f t="shared" ca="1" si="9"/>
        <v/>
      </c>
      <c r="AK91" s="71"/>
      <c r="AL91" s="70"/>
      <c r="AM91" s="71"/>
      <c r="AN91" s="70"/>
    </row>
    <row r="92" spans="6:40" s="59" customFormat="1" x14ac:dyDescent="0.35">
      <c r="F92" s="65"/>
      <c r="J92" s="67"/>
      <c r="M92" s="68"/>
      <c r="W92" s="20" t="str">
        <f t="shared" si="5"/>
        <v/>
      </c>
      <c r="AA92" s="70"/>
      <c r="AB92" s="71"/>
      <c r="AC92" s="71"/>
      <c r="AD92" s="72" t="str">
        <f t="shared" ca="1" si="6"/>
        <v/>
      </c>
      <c r="AE92" s="72" t="str">
        <f t="shared" ca="1" si="7"/>
        <v/>
      </c>
      <c r="AF92" s="73"/>
      <c r="AG92" s="70"/>
      <c r="AH92" s="70"/>
      <c r="AI92" s="74" t="str">
        <f t="shared" si="8"/>
        <v/>
      </c>
      <c r="AJ92" s="75" t="str">
        <f t="shared" ca="1" si="9"/>
        <v/>
      </c>
      <c r="AK92" s="71"/>
      <c r="AL92" s="70"/>
      <c r="AM92" s="71"/>
      <c r="AN92" s="70"/>
    </row>
    <row r="93" spans="6:40" s="59" customFormat="1" x14ac:dyDescent="0.35">
      <c r="F93" s="65"/>
      <c r="J93" s="67"/>
      <c r="M93" s="68"/>
      <c r="W93" s="20" t="str">
        <f t="shared" si="5"/>
        <v/>
      </c>
      <c r="AA93" s="70"/>
      <c r="AB93" s="71"/>
      <c r="AC93" s="71"/>
      <c r="AD93" s="72" t="str">
        <f t="shared" ca="1" si="6"/>
        <v/>
      </c>
      <c r="AE93" s="72" t="str">
        <f t="shared" ca="1" si="7"/>
        <v/>
      </c>
      <c r="AF93" s="73"/>
      <c r="AG93" s="70"/>
      <c r="AH93" s="70"/>
      <c r="AI93" s="74" t="str">
        <f t="shared" si="8"/>
        <v/>
      </c>
      <c r="AJ93" s="75" t="str">
        <f t="shared" ca="1" si="9"/>
        <v/>
      </c>
      <c r="AK93" s="71"/>
      <c r="AL93" s="70"/>
      <c r="AM93" s="71"/>
      <c r="AN93" s="70"/>
    </row>
    <row r="94" spans="6:40" s="59" customFormat="1" x14ac:dyDescent="0.35">
      <c r="F94" s="65"/>
      <c r="J94" s="67"/>
      <c r="M94" s="68"/>
      <c r="W94" s="20" t="str">
        <f t="shared" si="5"/>
        <v/>
      </c>
      <c r="AA94" s="70"/>
      <c r="AB94" s="71"/>
      <c r="AC94" s="71"/>
      <c r="AD94" s="72" t="str">
        <f t="shared" ca="1" si="6"/>
        <v/>
      </c>
      <c r="AE94" s="72" t="str">
        <f t="shared" ca="1" si="7"/>
        <v/>
      </c>
      <c r="AF94" s="73"/>
      <c r="AG94" s="70"/>
      <c r="AH94" s="70"/>
      <c r="AI94" s="74" t="str">
        <f t="shared" si="8"/>
        <v/>
      </c>
      <c r="AJ94" s="75" t="str">
        <f t="shared" ca="1" si="9"/>
        <v/>
      </c>
      <c r="AK94" s="71"/>
      <c r="AL94" s="70"/>
      <c r="AM94" s="71"/>
      <c r="AN94" s="70"/>
    </row>
    <row r="95" spans="6:40" s="59" customFormat="1" x14ac:dyDescent="0.35">
      <c r="F95" s="65"/>
      <c r="J95" s="67"/>
      <c r="M95" s="68"/>
      <c r="W95" s="20" t="str">
        <f t="shared" si="5"/>
        <v/>
      </c>
      <c r="AA95" s="70"/>
      <c r="AB95" s="71"/>
      <c r="AC95" s="71"/>
      <c r="AD95" s="72" t="str">
        <f t="shared" ca="1" si="6"/>
        <v/>
      </c>
      <c r="AE95" s="72" t="str">
        <f t="shared" ca="1" si="7"/>
        <v/>
      </c>
      <c r="AF95" s="73"/>
      <c r="AG95" s="70"/>
      <c r="AH95" s="70"/>
      <c r="AI95" s="74" t="str">
        <f t="shared" si="8"/>
        <v/>
      </c>
      <c r="AJ95" s="75" t="str">
        <f t="shared" ca="1" si="9"/>
        <v/>
      </c>
      <c r="AK95" s="71"/>
      <c r="AL95" s="70"/>
      <c r="AM95" s="71"/>
      <c r="AN95" s="70"/>
    </row>
    <row r="96" spans="6:40" s="59" customFormat="1" x14ac:dyDescent="0.35">
      <c r="F96" s="65"/>
      <c r="J96" s="67"/>
      <c r="M96" s="68"/>
      <c r="W96" s="20" t="str">
        <f t="shared" si="5"/>
        <v/>
      </c>
      <c r="AA96" s="70"/>
      <c r="AB96" s="71"/>
      <c r="AC96" s="71"/>
      <c r="AD96" s="72" t="str">
        <f t="shared" ca="1" si="6"/>
        <v/>
      </c>
      <c r="AE96" s="72" t="str">
        <f t="shared" ca="1" si="7"/>
        <v/>
      </c>
      <c r="AF96" s="73"/>
      <c r="AG96" s="70"/>
      <c r="AH96" s="70"/>
      <c r="AI96" s="74" t="str">
        <f t="shared" si="8"/>
        <v/>
      </c>
      <c r="AJ96" s="75" t="str">
        <f t="shared" ca="1" si="9"/>
        <v/>
      </c>
      <c r="AK96" s="71"/>
      <c r="AL96" s="70"/>
      <c r="AM96" s="71"/>
      <c r="AN96" s="70"/>
    </row>
    <row r="97" spans="6:40" s="59" customFormat="1" x14ac:dyDescent="0.35">
      <c r="F97" s="65"/>
      <c r="J97" s="67"/>
      <c r="M97" s="68"/>
      <c r="W97" s="20" t="str">
        <f t="shared" si="5"/>
        <v/>
      </c>
      <c r="AA97" s="70"/>
      <c r="AB97" s="71"/>
      <c r="AC97" s="71"/>
      <c r="AD97" s="72" t="str">
        <f t="shared" ca="1" si="6"/>
        <v/>
      </c>
      <c r="AE97" s="72" t="str">
        <f t="shared" ca="1" si="7"/>
        <v/>
      </c>
      <c r="AF97" s="73"/>
      <c r="AG97" s="70"/>
      <c r="AH97" s="70"/>
      <c r="AI97" s="74" t="str">
        <f t="shared" si="8"/>
        <v/>
      </c>
      <c r="AJ97" s="75" t="str">
        <f t="shared" ca="1" si="9"/>
        <v/>
      </c>
      <c r="AK97" s="71"/>
      <c r="AL97" s="70"/>
      <c r="AM97" s="71"/>
      <c r="AN97" s="70"/>
    </row>
    <row r="98" spans="6:40" s="59" customFormat="1" x14ac:dyDescent="0.35">
      <c r="F98" s="65"/>
      <c r="J98" s="67"/>
      <c r="M98" s="68"/>
      <c r="W98" s="20" t="str">
        <f t="shared" si="5"/>
        <v/>
      </c>
      <c r="AA98" s="70"/>
      <c r="AB98" s="71"/>
      <c r="AC98" s="71"/>
      <c r="AD98" s="72" t="str">
        <f t="shared" ca="1" si="6"/>
        <v/>
      </c>
      <c r="AE98" s="72" t="str">
        <f t="shared" ca="1" si="7"/>
        <v/>
      </c>
      <c r="AF98" s="73"/>
      <c r="AG98" s="70"/>
      <c r="AH98" s="70"/>
      <c r="AI98" s="74" t="str">
        <f t="shared" si="8"/>
        <v/>
      </c>
      <c r="AJ98" s="75" t="str">
        <f t="shared" ca="1" si="9"/>
        <v/>
      </c>
      <c r="AK98" s="71"/>
      <c r="AL98" s="70"/>
      <c r="AM98" s="71"/>
      <c r="AN98" s="70"/>
    </row>
    <row r="99" spans="6:40" s="59" customFormat="1" x14ac:dyDescent="0.35">
      <c r="F99" s="65"/>
      <c r="J99" s="67"/>
      <c r="M99" s="68"/>
      <c r="W99" s="20" t="str">
        <f t="shared" si="5"/>
        <v/>
      </c>
      <c r="AA99" s="70"/>
      <c r="AB99" s="71"/>
      <c r="AC99" s="71"/>
      <c r="AD99" s="72" t="str">
        <f t="shared" ca="1" si="6"/>
        <v/>
      </c>
      <c r="AE99" s="72" t="str">
        <f t="shared" ca="1" si="7"/>
        <v/>
      </c>
      <c r="AF99" s="73"/>
      <c r="AG99" s="70"/>
      <c r="AH99" s="70"/>
      <c r="AI99" s="74" t="str">
        <f t="shared" si="8"/>
        <v/>
      </c>
      <c r="AJ99" s="75" t="str">
        <f t="shared" ca="1" si="9"/>
        <v/>
      </c>
      <c r="AK99" s="71"/>
      <c r="AL99" s="70"/>
      <c r="AM99" s="71"/>
      <c r="AN99" s="70"/>
    </row>
    <row r="100" spans="6:40" s="59" customFormat="1" x14ac:dyDescent="0.35">
      <c r="F100" s="65"/>
      <c r="J100" s="67"/>
      <c r="M100" s="68"/>
      <c r="W100" s="20" t="str">
        <f t="shared" si="5"/>
        <v/>
      </c>
      <c r="AA100" s="70"/>
      <c r="AB100" s="71"/>
      <c r="AC100" s="71"/>
      <c r="AD100" s="72" t="str">
        <f t="shared" ca="1" si="6"/>
        <v/>
      </c>
      <c r="AE100" s="72" t="str">
        <f t="shared" ca="1" si="7"/>
        <v/>
      </c>
      <c r="AF100" s="73"/>
      <c r="AG100" s="70"/>
      <c r="AH100" s="70"/>
      <c r="AI100" s="74" t="str">
        <f t="shared" si="8"/>
        <v/>
      </c>
      <c r="AJ100" s="75" t="str">
        <f t="shared" ca="1" si="9"/>
        <v/>
      </c>
      <c r="AK100" s="71"/>
      <c r="AL100" s="70"/>
      <c r="AM100" s="71"/>
      <c r="AN100" s="70"/>
    </row>
    <row r="101" spans="6:40" s="59" customFormat="1" x14ac:dyDescent="0.35">
      <c r="F101" s="65"/>
      <c r="J101" s="67"/>
      <c r="M101" s="68"/>
      <c r="W101" s="20" t="str">
        <f t="shared" si="5"/>
        <v/>
      </c>
      <c r="AA101" s="70"/>
      <c r="AB101" s="71"/>
      <c r="AC101" s="71"/>
      <c r="AD101" s="72" t="str">
        <f t="shared" ca="1" si="6"/>
        <v/>
      </c>
      <c r="AE101" s="72" t="str">
        <f t="shared" ca="1" si="7"/>
        <v/>
      </c>
      <c r="AF101" s="73"/>
      <c r="AG101" s="70"/>
      <c r="AH101" s="70"/>
      <c r="AI101" s="74" t="str">
        <f t="shared" si="8"/>
        <v/>
      </c>
      <c r="AJ101" s="75" t="str">
        <f t="shared" ca="1" si="9"/>
        <v/>
      </c>
      <c r="AK101" s="71"/>
      <c r="AL101" s="70"/>
      <c r="AM101" s="71"/>
      <c r="AN101" s="70"/>
    </row>
    <row r="102" spans="6:40" s="59" customFormat="1" x14ac:dyDescent="0.35">
      <c r="F102" s="65"/>
      <c r="J102" s="67"/>
      <c r="M102" s="68"/>
      <c r="W102" s="20" t="str">
        <f t="shared" si="5"/>
        <v/>
      </c>
      <c r="AA102" s="70"/>
      <c r="AB102" s="71"/>
      <c r="AC102" s="71"/>
      <c r="AD102" s="72" t="str">
        <f t="shared" ca="1" si="6"/>
        <v/>
      </c>
      <c r="AE102" s="72" t="str">
        <f t="shared" ca="1" si="7"/>
        <v/>
      </c>
      <c r="AF102" s="73"/>
      <c r="AG102" s="70"/>
      <c r="AH102" s="70"/>
      <c r="AI102" s="74" t="str">
        <f t="shared" si="8"/>
        <v/>
      </c>
      <c r="AJ102" s="75" t="str">
        <f t="shared" ca="1" si="9"/>
        <v/>
      </c>
      <c r="AK102" s="71"/>
      <c r="AL102" s="70"/>
      <c r="AM102" s="71"/>
      <c r="AN102" s="70"/>
    </row>
    <row r="103" spans="6:40" s="59" customFormat="1" x14ac:dyDescent="0.35">
      <c r="F103" s="65"/>
      <c r="J103" s="67"/>
      <c r="M103" s="68"/>
      <c r="W103" s="20" t="str">
        <f t="shared" si="5"/>
        <v/>
      </c>
      <c r="AA103" s="70"/>
      <c r="AB103" s="71"/>
      <c r="AC103" s="71"/>
      <c r="AD103" s="72" t="str">
        <f t="shared" ca="1" si="6"/>
        <v/>
      </c>
      <c r="AE103" s="72" t="str">
        <f t="shared" ca="1" si="7"/>
        <v/>
      </c>
      <c r="AF103" s="73"/>
      <c r="AG103" s="70"/>
      <c r="AH103" s="70"/>
      <c r="AI103" s="74" t="str">
        <f t="shared" si="8"/>
        <v/>
      </c>
      <c r="AJ103" s="75" t="str">
        <f t="shared" ca="1" si="9"/>
        <v/>
      </c>
      <c r="AK103" s="71"/>
      <c r="AL103" s="70"/>
      <c r="AM103" s="71"/>
      <c r="AN103" s="70"/>
    </row>
    <row r="104" spans="6:40" s="59" customFormat="1" x14ac:dyDescent="0.35">
      <c r="F104" s="65"/>
      <c r="J104" s="67"/>
      <c r="M104" s="68"/>
      <c r="W104" s="20" t="str">
        <f t="shared" si="5"/>
        <v/>
      </c>
      <c r="AA104" s="70"/>
      <c r="AB104" s="71"/>
      <c r="AC104" s="71"/>
      <c r="AD104" s="72" t="str">
        <f t="shared" ca="1" si="6"/>
        <v/>
      </c>
      <c r="AE104" s="72" t="str">
        <f t="shared" ca="1" si="7"/>
        <v/>
      </c>
      <c r="AF104" s="73"/>
      <c r="AG104" s="70"/>
      <c r="AH104" s="70"/>
      <c r="AI104" s="74" t="str">
        <f t="shared" si="8"/>
        <v/>
      </c>
      <c r="AJ104" s="75" t="str">
        <f t="shared" ca="1" si="9"/>
        <v/>
      </c>
      <c r="AK104" s="71"/>
      <c r="AL104" s="70"/>
      <c r="AM104" s="71"/>
      <c r="AN104" s="70"/>
    </row>
    <row r="105" spans="6:40" s="59" customFormat="1" x14ac:dyDescent="0.35">
      <c r="F105" s="65"/>
      <c r="J105" s="67"/>
      <c r="M105" s="68"/>
      <c r="W105" s="20" t="str">
        <f t="shared" si="5"/>
        <v/>
      </c>
      <c r="AA105" s="70"/>
      <c r="AB105" s="71"/>
      <c r="AC105" s="71"/>
      <c r="AD105" s="72" t="str">
        <f t="shared" ca="1" si="6"/>
        <v/>
      </c>
      <c r="AE105" s="72" t="str">
        <f t="shared" ca="1" si="7"/>
        <v/>
      </c>
      <c r="AF105" s="73"/>
      <c r="AG105" s="70"/>
      <c r="AH105" s="70"/>
      <c r="AI105" s="74" t="str">
        <f t="shared" si="8"/>
        <v/>
      </c>
      <c r="AJ105" s="75" t="str">
        <f t="shared" ca="1" si="9"/>
        <v/>
      </c>
      <c r="AK105" s="71"/>
      <c r="AL105" s="70"/>
      <c r="AM105" s="71"/>
      <c r="AN105" s="70"/>
    </row>
    <row r="106" spans="6:40" s="59" customFormat="1" x14ac:dyDescent="0.35">
      <c r="F106" s="65"/>
      <c r="J106" s="67"/>
      <c r="M106" s="68"/>
      <c r="W106" s="20" t="str">
        <f t="shared" si="5"/>
        <v/>
      </c>
      <c r="AA106" s="70"/>
      <c r="AB106" s="71"/>
      <c r="AC106" s="71"/>
      <c r="AD106" s="72" t="str">
        <f t="shared" ca="1" si="6"/>
        <v/>
      </c>
      <c r="AE106" s="72" t="str">
        <f t="shared" ca="1" si="7"/>
        <v/>
      </c>
      <c r="AF106" s="73"/>
      <c r="AG106" s="70"/>
      <c r="AH106" s="70"/>
      <c r="AI106" s="74" t="str">
        <f t="shared" si="8"/>
        <v/>
      </c>
      <c r="AJ106" s="75" t="str">
        <f t="shared" ca="1" si="9"/>
        <v/>
      </c>
      <c r="AK106" s="71"/>
      <c r="AL106" s="70"/>
      <c r="AM106" s="71"/>
      <c r="AN106" s="70"/>
    </row>
    <row r="107" spans="6:40" s="59" customFormat="1" x14ac:dyDescent="0.35">
      <c r="F107" s="65"/>
      <c r="J107" s="67"/>
      <c r="M107" s="68"/>
      <c r="W107" s="20" t="str">
        <f t="shared" si="5"/>
        <v/>
      </c>
      <c r="AA107" s="70"/>
      <c r="AB107" s="71"/>
      <c r="AC107" s="71"/>
      <c r="AD107" s="72" t="str">
        <f t="shared" ca="1" si="6"/>
        <v/>
      </c>
      <c r="AE107" s="72" t="str">
        <f t="shared" ca="1" si="7"/>
        <v/>
      </c>
      <c r="AF107" s="73"/>
      <c r="AG107" s="70"/>
      <c r="AH107" s="70"/>
      <c r="AI107" s="74" t="str">
        <f t="shared" si="8"/>
        <v/>
      </c>
      <c r="AJ107" s="75" t="str">
        <f t="shared" ca="1" si="9"/>
        <v/>
      </c>
      <c r="AK107" s="71"/>
      <c r="AL107" s="70"/>
      <c r="AM107" s="71"/>
      <c r="AN107" s="70"/>
    </row>
    <row r="108" spans="6:40" s="59" customFormat="1" x14ac:dyDescent="0.35">
      <c r="F108" s="65"/>
      <c r="J108" s="67"/>
      <c r="M108" s="68"/>
      <c r="W108" s="20" t="str">
        <f t="shared" si="5"/>
        <v/>
      </c>
      <c r="AA108" s="70"/>
      <c r="AB108" s="71"/>
      <c r="AC108" s="71"/>
      <c r="AD108" s="72" t="str">
        <f t="shared" ca="1" si="6"/>
        <v/>
      </c>
      <c r="AE108" s="72" t="str">
        <f t="shared" ca="1" si="7"/>
        <v/>
      </c>
      <c r="AF108" s="73"/>
      <c r="AG108" s="70"/>
      <c r="AH108" s="70"/>
      <c r="AI108" s="74" t="str">
        <f t="shared" si="8"/>
        <v/>
      </c>
      <c r="AJ108" s="75" t="str">
        <f t="shared" ca="1" si="9"/>
        <v/>
      </c>
      <c r="AK108" s="71"/>
      <c r="AL108" s="70"/>
      <c r="AM108" s="71"/>
      <c r="AN108" s="70"/>
    </row>
    <row r="109" spans="6:40" s="59" customFormat="1" x14ac:dyDescent="0.35">
      <c r="F109" s="65"/>
      <c r="J109" s="67"/>
      <c r="M109" s="68"/>
      <c r="W109" s="20" t="str">
        <f t="shared" si="5"/>
        <v/>
      </c>
      <c r="AA109" s="70"/>
      <c r="AB109" s="71"/>
      <c r="AC109" s="71"/>
      <c r="AD109" s="72" t="str">
        <f t="shared" ca="1" si="6"/>
        <v/>
      </c>
      <c r="AE109" s="72" t="str">
        <f t="shared" ca="1" si="7"/>
        <v/>
      </c>
      <c r="AF109" s="73"/>
      <c r="AG109" s="70"/>
      <c r="AH109" s="70"/>
      <c r="AI109" s="74" t="str">
        <f t="shared" si="8"/>
        <v/>
      </c>
      <c r="AJ109" s="75" t="str">
        <f t="shared" ca="1" si="9"/>
        <v/>
      </c>
      <c r="AK109" s="71"/>
      <c r="AL109" s="70"/>
      <c r="AM109" s="71"/>
      <c r="AN109" s="70"/>
    </row>
    <row r="110" spans="6:40" s="59" customFormat="1" x14ac:dyDescent="0.35">
      <c r="F110" s="65"/>
      <c r="J110" s="67"/>
      <c r="M110" s="68"/>
      <c r="W110" s="20" t="str">
        <f t="shared" si="5"/>
        <v/>
      </c>
      <c r="AA110" s="70"/>
      <c r="AB110" s="71"/>
      <c r="AC110" s="71"/>
      <c r="AD110" s="72" t="str">
        <f t="shared" ca="1" si="6"/>
        <v/>
      </c>
      <c r="AE110" s="72" t="str">
        <f t="shared" ca="1" si="7"/>
        <v/>
      </c>
      <c r="AF110" s="73"/>
      <c r="AG110" s="70"/>
      <c r="AH110" s="70"/>
      <c r="AI110" s="74" t="str">
        <f t="shared" si="8"/>
        <v/>
      </c>
      <c r="AJ110" s="75" t="str">
        <f t="shared" ca="1" si="9"/>
        <v/>
      </c>
      <c r="AK110" s="71"/>
      <c r="AL110" s="70"/>
      <c r="AM110" s="71"/>
      <c r="AN110" s="70"/>
    </row>
    <row r="111" spans="6:40" s="59" customFormat="1" x14ac:dyDescent="0.35">
      <c r="F111" s="65"/>
      <c r="J111" s="67"/>
      <c r="M111" s="68"/>
      <c r="W111" s="20" t="str">
        <f t="shared" si="5"/>
        <v/>
      </c>
      <c r="AA111" s="70"/>
      <c r="AB111" s="71"/>
      <c r="AC111" s="71"/>
      <c r="AD111" s="72" t="str">
        <f t="shared" ca="1" si="6"/>
        <v/>
      </c>
      <c r="AE111" s="72" t="str">
        <f t="shared" ca="1" si="7"/>
        <v/>
      </c>
      <c r="AF111" s="73"/>
      <c r="AG111" s="70"/>
      <c r="AH111" s="70"/>
      <c r="AI111" s="74" t="str">
        <f t="shared" si="8"/>
        <v/>
      </c>
      <c r="AJ111" s="75" t="str">
        <f t="shared" ca="1" si="9"/>
        <v/>
      </c>
      <c r="AK111" s="71"/>
      <c r="AL111" s="70"/>
      <c r="AM111" s="71"/>
      <c r="AN111" s="70"/>
    </row>
    <row r="112" spans="6:40" s="59" customFormat="1" x14ac:dyDescent="0.35">
      <c r="F112" s="65"/>
      <c r="J112" s="67"/>
      <c r="M112" s="68"/>
      <c r="W112" s="20" t="str">
        <f t="shared" si="5"/>
        <v/>
      </c>
      <c r="AA112" s="70"/>
      <c r="AB112" s="71"/>
      <c r="AC112" s="71"/>
      <c r="AD112" s="72" t="str">
        <f t="shared" ca="1" si="6"/>
        <v/>
      </c>
      <c r="AE112" s="72" t="str">
        <f t="shared" ca="1" si="7"/>
        <v/>
      </c>
      <c r="AF112" s="73"/>
      <c r="AG112" s="70"/>
      <c r="AH112" s="70"/>
      <c r="AI112" s="74" t="str">
        <f t="shared" si="8"/>
        <v/>
      </c>
      <c r="AJ112" s="75" t="str">
        <f t="shared" ca="1" si="9"/>
        <v/>
      </c>
      <c r="AK112" s="71"/>
      <c r="AL112" s="70"/>
      <c r="AM112" s="71"/>
      <c r="AN112" s="70"/>
    </row>
    <row r="113" spans="6:40" s="59" customFormat="1" x14ac:dyDescent="0.35">
      <c r="F113" s="65"/>
      <c r="J113" s="67"/>
      <c r="M113" s="68"/>
      <c r="W113" s="20" t="str">
        <f t="shared" si="5"/>
        <v/>
      </c>
      <c r="AA113" s="70"/>
      <c r="AB113" s="71"/>
      <c r="AC113" s="71"/>
      <c r="AD113" s="72" t="str">
        <f t="shared" ca="1" si="6"/>
        <v/>
      </c>
      <c r="AE113" s="72" t="str">
        <f t="shared" ca="1" si="7"/>
        <v/>
      </c>
      <c r="AF113" s="73"/>
      <c r="AG113" s="70"/>
      <c r="AH113" s="70"/>
      <c r="AI113" s="74" t="str">
        <f t="shared" si="8"/>
        <v/>
      </c>
      <c r="AJ113" s="75" t="str">
        <f t="shared" ca="1" si="9"/>
        <v/>
      </c>
      <c r="AK113" s="71"/>
      <c r="AL113" s="70"/>
      <c r="AM113" s="71"/>
      <c r="AN113" s="70"/>
    </row>
    <row r="114" spans="6:40" s="59" customFormat="1" x14ac:dyDescent="0.35">
      <c r="F114" s="65"/>
      <c r="J114" s="67"/>
      <c r="M114" s="68"/>
      <c r="W114" s="20" t="str">
        <f t="shared" si="5"/>
        <v/>
      </c>
      <c r="AA114" s="70"/>
      <c r="AB114" s="71"/>
      <c r="AC114" s="71"/>
      <c r="AD114" s="72" t="str">
        <f t="shared" ca="1" si="6"/>
        <v/>
      </c>
      <c r="AE114" s="72" t="str">
        <f t="shared" ca="1" si="7"/>
        <v/>
      </c>
      <c r="AF114" s="73"/>
      <c r="AG114" s="70"/>
      <c r="AH114" s="70"/>
      <c r="AI114" s="74" t="str">
        <f t="shared" si="8"/>
        <v/>
      </c>
      <c r="AJ114" s="75" t="str">
        <f t="shared" ca="1" si="9"/>
        <v/>
      </c>
      <c r="AK114" s="71"/>
      <c r="AL114" s="70"/>
      <c r="AM114" s="71"/>
      <c r="AN114" s="70"/>
    </row>
    <row r="115" spans="6:40" s="59" customFormat="1" x14ac:dyDescent="0.35">
      <c r="F115" s="65"/>
      <c r="J115" s="67"/>
      <c r="M115" s="68"/>
      <c r="W115" s="20" t="str">
        <f t="shared" si="5"/>
        <v/>
      </c>
      <c r="AA115" s="70"/>
      <c r="AB115" s="71"/>
      <c r="AC115" s="71"/>
      <c r="AD115" s="72" t="str">
        <f t="shared" ca="1" si="6"/>
        <v/>
      </c>
      <c r="AE115" s="72" t="str">
        <f t="shared" ca="1" si="7"/>
        <v/>
      </c>
      <c r="AF115" s="73"/>
      <c r="AG115" s="70"/>
      <c r="AH115" s="70"/>
      <c r="AI115" s="74" t="str">
        <f t="shared" si="8"/>
        <v/>
      </c>
      <c r="AJ115" s="75" t="str">
        <f t="shared" ca="1" si="9"/>
        <v/>
      </c>
      <c r="AK115" s="71"/>
      <c r="AL115" s="70"/>
      <c r="AM115" s="71"/>
      <c r="AN115" s="70"/>
    </row>
    <row r="116" spans="6:40" s="59" customFormat="1" x14ac:dyDescent="0.35">
      <c r="F116" s="65"/>
      <c r="J116" s="67"/>
      <c r="M116" s="68"/>
      <c r="W116" s="20" t="str">
        <f t="shared" si="5"/>
        <v/>
      </c>
      <c r="AA116" s="70"/>
      <c r="AB116" s="71"/>
      <c r="AC116" s="71"/>
      <c r="AD116" s="72" t="str">
        <f t="shared" ca="1" si="6"/>
        <v/>
      </c>
      <c r="AE116" s="72" t="str">
        <f t="shared" ca="1" si="7"/>
        <v/>
      </c>
      <c r="AF116" s="73"/>
      <c r="AG116" s="70"/>
      <c r="AH116" s="70"/>
      <c r="AI116" s="74" t="str">
        <f t="shared" si="8"/>
        <v/>
      </c>
      <c r="AJ116" s="75" t="str">
        <f t="shared" ca="1" si="9"/>
        <v/>
      </c>
      <c r="AK116" s="71"/>
      <c r="AL116" s="70"/>
      <c r="AM116" s="71"/>
      <c r="AN116" s="70"/>
    </row>
    <row r="117" spans="6:40" s="59" customFormat="1" x14ac:dyDescent="0.35">
      <c r="F117" s="65"/>
      <c r="J117" s="67"/>
      <c r="M117" s="68"/>
      <c r="W117" s="20" t="str">
        <f t="shared" si="5"/>
        <v/>
      </c>
      <c r="AA117" s="70"/>
      <c r="AB117" s="71"/>
      <c r="AC117" s="71"/>
      <c r="AD117" s="72" t="str">
        <f t="shared" ca="1" si="6"/>
        <v/>
      </c>
      <c r="AE117" s="72" t="str">
        <f t="shared" ca="1" si="7"/>
        <v/>
      </c>
      <c r="AF117" s="73"/>
      <c r="AG117" s="70"/>
      <c r="AH117" s="70"/>
      <c r="AI117" s="74" t="str">
        <f t="shared" si="8"/>
        <v/>
      </c>
      <c r="AJ117" s="75" t="str">
        <f t="shared" ca="1" si="9"/>
        <v/>
      </c>
      <c r="AK117" s="71"/>
      <c r="AL117" s="70"/>
      <c r="AM117" s="71"/>
      <c r="AN117" s="70"/>
    </row>
    <row r="118" spans="6:40" s="59" customFormat="1" x14ac:dyDescent="0.35">
      <c r="F118" s="65"/>
      <c r="J118" s="67"/>
      <c r="M118" s="68"/>
      <c r="W118" s="20" t="str">
        <f t="shared" si="5"/>
        <v/>
      </c>
      <c r="AA118" s="70"/>
      <c r="AB118" s="71"/>
      <c r="AC118" s="71"/>
      <c r="AD118" s="72" t="str">
        <f t="shared" ca="1" si="6"/>
        <v/>
      </c>
      <c r="AE118" s="72" t="str">
        <f t="shared" ca="1" si="7"/>
        <v/>
      </c>
      <c r="AF118" s="73"/>
      <c r="AG118" s="70"/>
      <c r="AH118" s="70"/>
      <c r="AI118" s="74" t="str">
        <f t="shared" si="8"/>
        <v/>
      </c>
      <c r="AJ118" s="75" t="str">
        <f t="shared" ca="1" si="9"/>
        <v/>
      </c>
      <c r="AK118" s="71"/>
      <c r="AL118" s="70"/>
      <c r="AM118" s="71"/>
      <c r="AN118" s="70"/>
    </row>
    <row r="119" spans="6:40" s="59" customFormat="1" x14ac:dyDescent="0.35">
      <c r="F119" s="65"/>
      <c r="J119" s="67"/>
      <c r="M119" s="68"/>
      <c r="W119" s="20" t="str">
        <f t="shared" si="5"/>
        <v/>
      </c>
      <c r="AA119" s="70"/>
      <c r="AB119" s="71"/>
      <c r="AC119" s="71"/>
      <c r="AD119" s="72" t="str">
        <f t="shared" ca="1" si="6"/>
        <v/>
      </c>
      <c r="AE119" s="72" t="str">
        <f t="shared" ca="1" si="7"/>
        <v/>
      </c>
      <c r="AF119" s="73"/>
      <c r="AG119" s="70"/>
      <c r="AH119" s="70"/>
      <c r="AI119" s="74" t="str">
        <f t="shared" si="8"/>
        <v/>
      </c>
      <c r="AJ119" s="75" t="str">
        <f t="shared" ca="1" si="9"/>
        <v/>
      </c>
      <c r="AK119" s="71"/>
      <c r="AL119" s="70"/>
      <c r="AM119" s="71"/>
      <c r="AN119" s="70"/>
    </row>
    <row r="120" spans="6:40" s="59" customFormat="1" x14ac:dyDescent="0.35">
      <c r="F120" s="65"/>
      <c r="J120" s="67"/>
      <c r="M120" s="68"/>
      <c r="W120" s="20" t="str">
        <f t="shared" si="5"/>
        <v/>
      </c>
      <c r="AA120" s="70"/>
      <c r="AB120" s="71"/>
      <c r="AC120" s="71"/>
      <c r="AD120" s="72" t="str">
        <f t="shared" ca="1" si="6"/>
        <v/>
      </c>
      <c r="AE120" s="72" t="str">
        <f t="shared" ca="1" si="7"/>
        <v/>
      </c>
      <c r="AF120" s="73"/>
      <c r="AG120" s="70"/>
      <c r="AH120" s="70"/>
      <c r="AI120" s="74" t="str">
        <f t="shared" si="8"/>
        <v/>
      </c>
      <c r="AJ120" s="75" t="str">
        <f t="shared" ca="1" si="9"/>
        <v/>
      </c>
      <c r="AK120" s="71"/>
      <c r="AL120" s="70"/>
      <c r="AM120" s="71"/>
      <c r="AN120" s="70"/>
    </row>
    <row r="121" spans="6:40" s="59" customFormat="1" x14ac:dyDescent="0.35">
      <c r="F121" s="65"/>
      <c r="J121" s="67"/>
      <c r="M121" s="68"/>
      <c r="W121" s="20" t="str">
        <f t="shared" si="5"/>
        <v/>
      </c>
      <c r="AA121" s="70"/>
      <c r="AB121" s="71"/>
      <c r="AC121" s="71"/>
      <c r="AD121" s="72" t="str">
        <f t="shared" ca="1" si="6"/>
        <v/>
      </c>
      <c r="AE121" s="72" t="str">
        <f t="shared" ca="1" si="7"/>
        <v/>
      </c>
      <c r="AF121" s="73"/>
      <c r="AG121" s="70"/>
      <c r="AH121" s="70"/>
      <c r="AI121" s="74" t="str">
        <f t="shared" si="8"/>
        <v/>
      </c>
      <c r="AJ121" s="75" t="str">
        <f t="shared" ca="1" si="9"/>
        <v/>
      </c>
      <c r="AK121" s="71"/>
      <c r="AL121" s="70"/>
      <c r="AM121" s="71"/>
      <c r="AN121" s="70"/>
    </row>
    <row r="122" spans="6:40" s="59" customFormat="1" x14ac:dyDescent="0.35">
      <c r="F122" s="65"/>
      <c r="J122" s="67"/>
      <c r="M122" s="68"/>
      <c r="W122" s="20" t="str">
        <f t="shared" si="5"/>
        <v/>
      </c>
      <c r="AA122" s="70"/>
      <c r="AB122" s="71"/>
      <c r="AC122" s="71"/>
      <c r="AD122" s="72" t="str">
        <f t="shared" ca="1" si="6"/>
        <v/>
      </c>
      <c r="AE122" s="72" t="str">
        <f t="shared" ca="1" si="7"/>
        <v/>
      </c>
      <c r="AF122" s="73"/>
      <c r="AG122" s="70"/>
      <c r="AH122" s="70"/>
      <c r="AI122" s="74" t="str">
        <f t="shared" si="8"/>
        <v/>
      </c>
      <c r="AJ122" s="75" t="str">
        <f t="shared" ca="1" si="9"/>
        <v/>
      </c>
      <c r="AK122" s="71"/>
      <c r="AL122" s="70"/>
      <c r="AM122" s="71"/>
      <c r="AN122" s="70"/>
    </row>
    <row r="123" spans="6:40" s="59" customFormat="1" x14ac:dyDescent="0.35">
      <c r="F123" s="65"/>
      <c r="J123" s="67"/>
      <c r="M123" s="68"/>
      <c r="W123" s="20" t="str">
        <f t="shared" si="5"/>
        <v/>
      </c>
      <c r="AA123" s="70"/>
      <c r="AB123" s="71"/>
      <c r="AC123" s="71"/>
      <c r="AD123" s="72" t="str">
        <f t="shared" ca="1" si="6"/>
        <v/>
      </c>
      <c r="AE123" s="72" t="str">
        <f t="shared" ca="1" si="7"/>
        <v/>
      </c>
      <c r="AF123" s="73"/>
      <c r="AG123" s="70"/>
      <c r="AH123" s="70"/>
      <c r="AI123" s="74" t="str">
        <f t="shared" si="8"/>
        <v/>
      </c>
      <c r="AJ123" s="75" t="str">
        <f t="shared" ca="1" si="9"/>
        <v/>
      </c>
      <c r="AK123" s="71"/>
      <c r="AL123" s="70"/>
      <c r="AM123" s="71"/>
      <c r="AN123" s="70"/>
    </row>
    <row r="124" spans="6:40" s="59" customFormat="1" x14ac:dyDescent="0.35">
      <c r="F124" s="65"/>
      <c r="J124" s="67"/>
      <c r="M124" s="68"/>
      <c r="W124" s="20" t="str">
        <f t="shared" si="5"/>
        <v/>
      </c>
      <c r="AA124" s="70"/>
      <c r="AB124" s="71"/>
      <c r="AC124" s="71"/>
      <c r="AD124" s="72" t="str">
        <f t="shared" ca="1" si="6"/>
        <v/>
      </c>
      <c r="AE124" s="72" t="str">
        <f t="shared" ca="1" si="7"/>
        <v/>
      </c>
      <c r="AF124" s="73"/>
      <c r="AG124" s="70"/>
      <c r="AH124" s="70"/>
      <c r="AI124" s="74" t="str">
        <f t="shared" si="8"/>
        <v/>
      </c>
      <c r="AJ124" s="75" t="str">
        <f t="shared" ca="1" si="9"/>
        <v/>
      </c>
      <c r="AK124" s="71"/>
      <c r="AL124" s="70"/>
      <c r="AM124" s="71"/>
      <c r="AN124" s="70"/>
    </row>
    <row r="125" spans="6:40" s="59" customFormat="1" x14ac:dyDescent="0.35">
      <c r="F125" s="65"/>
      <c r="J125" s="67"/>
      <c r="M125" s="68"/>
      <c r="W125" s="20" t="str">
        <f t="shared" si="5"/>
        <v/>
      </c>
      <c r="AA125" s="70"/>
      <c r="AB125" s="71"/>
      <c r="AC125" s="71"/>
      <c r="AD125" s="72" t="str">
        <f t="shared" ca="1" si="6"/>
        <v/>
      </c>
      <c r="AE125" s="72" t="str">
        <f t="shared" ca="1" si="7"/>
        <v/>
      </c>
      <c r="AF125" s="73"/>
      <c r="AG125" s="70"/>
      <c r="AH125" s="70"/>
      <c r="AI125" s="74" t="str">
        <f t="shared" si="8"/>
        <v/>
      </c>
      <c r="AJ125" s="75" t="str">
        <f t="shared" ca="1" si="9"/>
        <v/>
      </c>
      <c r="AK125" s="71"/>
      <c r="AL125" s="70"/>
      <c r="AM125" s="71"/>
      <c r="AN125" s="70"/>
    </row>
    <row r="126" spans="6:40" s="59" customFormat="1" x14ac:dyDescent="0.35">
      <c r="F126" s="65"/>
      <c r="J126" s="67"/>
      <c r="M126" s="68"/>
      <c r="W126" s="20" t="str">
        <f t="shared" si="5"/>
        <v/>
      </c>
      <c r="AA126" s="70"/>
      <c r="AB126" s="71"/>
      <c r="AC126" s="71"/>
      <c r="AD126" s="72" t="str">
        <f t="shared" ca="1" si="6"/>
        <v/>
      </c>
      <c r="AE126" s="72" t="str">
        <f t="shared" ca="1" si="7"/>
        <v/>
      </c>
      <c r="AF126" s="73"/>
      <c r="AG126" s="70"/>
      <c r="AH126" s="70"/>
      <c r="AI126" s="74" t="str">
        <f t="shared" si="8"/>
        <v/>
      </c>
      <c r="AJ126" s="75" t="str">
        <f t="shared" ca="1" si="9"/>
        <v/>
      </c>
      <c r="AK126" s="71"/>
      <c r="AL126" s="70"/>
      <c r="AM126" s="71"/>
      <c r="AN126" s="70"/>
    </row>
    <row r="127" spans="6:40" s="59" customFormat="1" x14ac:dyDescent="0.35">
      <c r="F127" s="65"/>
      <c r="J127" s="67"/>
      <c r="M127" s="68"/>
      <c r="W127" s="20" t="str">
        <f t="shared" si="5"/>
        <v/>
      </c>
      <c r="AA127" s="70"/>
      <c r="AB127" s="71"/>
      <c r="AC127" s="71"/>
      <c r="AD127" s="72" t="str">
        <f t="shared" ca="1" si="6"/>
        <v/>
      </c>
      <c r="AE127" s="72" t="str">
        <f t="shared" ca="1" si="7"/>
        <v/>
      </c>
      <c r="AF127" s="73"/>
      <c r="AG127" s="70"/>
      <c r="AH127" s="70"/>
      <c r="AI127" s="74" t="str">
        <f t="shared" si="8"/>
        <v/>
      </c>
      <c r="AJ127" s="75" t="str">
        <f t="shared" ca="1" si="9"/>
        <v/>
      </c>
      <c r="AK127" s="71"/>
      <c r="AL127" s="70"/>
      <c r="AM127" s="71"/>
      <c r="AN127" s="70"/>
    </row>
    <row r="128" spans="6:40" s="59" customFormat="1" x14ac:dyDescent="0.35">
      <c r="F128" s="65"/>
      <c r="J128" s="67"/>
      <c r="M128" s="68"/>
      <c r="W128" s="20" t="str">
        <f t="shared" si="5"/>
        <v/>
      </c>
      <c r="AA128" s="70"/>
      <c r="AB128" s="71"/>
      <c r="AC128" s="71"/>
      <c r="AD128" s="72" t="str">
        <f t="shared" ca="1" si="6"/>
        <v/>
      </c>
      <c r="AE128" s="72" t="str">
        <f t="shared" ca="1" si="7"/>
        <v/>
      </c>
      <c r="AF128" s="73"/>
      <c r="AG128" s="70"/>
      <c r="AH128" s="70"/>
      <c r="AI128" s="74" t="str">
        <f t="shared" si="8"/>
        <v/>
      </c>
      <c r="AJ128" s="75" t="str">
        <f t="shared" ca="1" si="9"/>
        <v/>
      </c>
      <c r="AK128" s="71"/>
      <c r="AL128" s="70"/>
      <c r="AM128" s="71"/>
      <c r="AN128" s="70"/>
    </row>
    <row r="129" spans="6:40" s="59" customFormat="1" x14ac:dyDescent="0.35">
      <c r="F129" s="65"/>
      <c r="J129" s="67"/>
      <c r="M129" s="68"/>
      <c r="W129" s="20" t="str">
        <f t="shared" si="5"/>
        <v/>
      </c>
      <c r="AA129" s="70"/>
      <c r="AB129" s="71"/>
      <c r="AC129" s="71"/>
      <c r="AD129" s="72" t="str">
        <f t="shared" ca="1" si="6"/>
        <v/>
      </c>
      <c r="AE129" s="72" t="str">
        <f t="shared" ca="1" si="7"/>
        <v/>
      </c>
      <c r="AF129" s="73"/>
      <c r="AG129" s="70"/>
      <c r="AH129" s="70"/>
      <c r="AI129" s="74" t="str">
        <f t="shared" si="8"/>
        <v/>
      </c>
      <c r="AJ129" s="75" t="str">
        <f t="shared" ca="1" si="9"/>
        <v/>
      </c>
      <c r="AK129" s="71"/>
      <c r="AL129" s="70"/>
      <c r="AM129" s="71"/>
      <c r="AN129" s="70"/>
    </row>
    <row r="130" spans="6:40" s="59" customFormat="1" x14ac:dyDescent="0.35">
      <c r="F130" s="65"/>
      <c r="J130" s="67"/>
      <c r="M130" s="68"/>
      <c r="W130" s="20" t="str">
        <f t="shared" si="5"/>
        <v/>
      </c>
      <c r="AA130" s="70"/>
      <c r="AB130" s="71"/>
      <c r="AC130" s="71"/>
      <c r="AD130" s="72" t="str">
        <f t="shared" ca="1" si="6"/>
        <v/>
      </c>
      <c r="AE130" s="72" t="str">
        <f t="shared" ca="1" si="7"/>
        <v/>
      </c>
      <c r="AF130" s="73"/>
      <c r="AG130" s="70"/>
      <c r="AH130" s="70"/>
      <c r="AI130" s="74" t="str">
        <f t="shared" si="8"/>
        <v/>
      </c>
      <c r="AJ130" s="75" t="str">
        <f t="shared" ca="1" si="9"/>
        <v/>
      </c>
      <c r="AK130" s="71"/>
      <c r="AL130" s="70"/>
      <c r="AM130" s="71"/>
      <c r="AN130" s="70"/>
    </row>
    <row r="131" spans="6:40" s="59" customFormat="1" x14ac:dyDescent="0.35">
      <c r="F131" s="65"/>
      <c r="J131" s="67"/>
      <c r="M131" s="68"/>
      <c r="W131" s="20" t="str">
        <f t="shared" si="5"/>
        <v/>
      </c>
      <c r="AA131" s="70"/>
      <c r="AB131" s="71"/>
      <c r="AC131" s="71"/>
      <c r="AD131" s="72" t="str">
        <f t="shared" ca="1" si="6"/>
        <v/>
      </c>
      <c r="AE131" s="72" t="str">
        <f t="shared" ca="1" si="7"/>
        <v/>
      </c>
      <c r="AF131" s="73"/>
      <c r="AG131" s="70"/>
      <c r="AH131" s="70"/>
      <c r="AI131" s="74" t="str">
        <f t="shared" si="8"/>
        <v/>
      </c>
      <c r="AJ131" s="75" t="str">
        <f t="shared" ca="1" si="9"/>
        <v/>
      </c>
      <c r="AK131" s="71"/>
      <c r="AL131" s="70"/>
      <c r="AM131" s="71"/>
      <c r="AN131" s="70"/>
    </row>
    <row r="132" spans="6:40" s="59" customFormat="1" x14ac:dyDescent="0.35">
      <c r="F132" s="65"/>
      <c r="J132" s="67"/>
      <c r="M132" s="68"/>
      <c r="W132" s="20" t="str">
        <f t="shared" si="5"/>
        <v/>
      </c>
      <c r="AA132" s="70"/>
      <c r="AB132" s="71"/>
      <c r="AC132" s="71"/>
      <c r="AD132" s="72" t="str">
        <f t="shared" ca="1" si="6"/>
        <v/>
      </c>
      <c r="AE132" s="72" t="str">
        <f t="shared" ca="1" si="7"/>
        <v/>
      </c>
      <c r="AF132" s="73"/>
      <c r="AG132" s="70"/>
      <c r="AH132" s="70"/>
      <c r="AI132" s="74" t="str">
        <f t="shared" si="8"/>
        <v/>
      </c>
      <c r="AJ132" s="75" t="str">
        <f t="shared" ca="1" si="9"/>
        <v/>
      </c>
      <c r="AK132" s="71"/>
      <c r="AL132" s="70"/>
      <c r="AM132" s="71"/>
      <c r="AN132" s="70"/>
    </row>
    <row r="133" spans="6:40" s="59" customFormat="1" x14ac:dyDescent="0.35">
      <c r="F133" s="65"/>
      <c r="J133" s="67"/>
      <c r="M133" s="68"/>
      <c r="W133" s="20" t="str">
        <f t="shared" si="5"/>
        <v/>
      </c>
      <c r="AA133" s="70"/>
      <c r="AB133" s="71"/>
      <c r="AC133" s="71"/>
      <c r="AD133" s="72" t="str">
        <f t="shared" ca="1" si="6"/>
        <v/>
      </c>
      <c r="AE133" s="72" t="str">
        <f t="shared" ca="1" si="7"/>
        <v/>
      </c>
      <c r="AF133" s="73"/>
      <c r="AG133" s="70"/>
      <c r="AH133" s="70"/>
      <c r="AI133" s="74" t="str">
        <f t="shared" si="8"/>
        <v/>
      </c>
      <c r="AJ133" s="75" t="str">
        <f t="shared" ca="1" si="9"/>
        <v/>
      </c>
      <c r="AK133" s="71"/>
      <c r="AL133" s="70"/>
      <c r="AM133" s="71"/>
      <c r="AN133" s="70"/>
    </row>
    <row r="134" spans="6:40" s="59" customFormat="1" x14ac:dyDescent="0.35">
      <c r="F134" s="65"/>
      <c r="J134" s="67"/>
      <c r="M134" s="68"/>
      <c r="W134" s="20" t="str">
        <f t="shared" si="5"/>
        <v/>
      </c>
      <c r="AA134" s="70"/>
      <c r="AB134" s="71"/>
      <c r="AC134" s="71"/>
      <c r="AD134" s="72" t="str">
        <f t="shared" ca="1" si="6"/>
        <v/>
      </c>
      <c r="AE134" s="72" t="str">
        <f t="shared" ca="1" si="7"/>
        <v/>
      </c>
      <c r="AF134" s="73"/>
      <c r="AG134" s="70"/>
      <c r="AH134" s="70"/>
      <c r="AI134" s="74" t="str">
        <f t="shared" si="8"/>
        <v/>
      </c>
      <c r="AJ134" s="75" t="str">
        <f t="shared" ca="1" si="9"/>
        <v/>
      </c>
      <c r="AK134" s="71"/>
      <c r="AL134" s="70"/>
      <c r="AM134" s="71"/>
      <c r="AN134" s="70"/>
    </row>
    <row r="135" spans="6:40" s="59" customFormat="1" x14ac:dyDescent="0.35">
      <c r="F135" s="65"/>
      <c r="J135" s="67"/>
      <c r="M135" s="68"/>
      <c r="W135" s="20" t="str">
        <f t="shared" ref="W135:W198" si="10">IFERROR(VLOOKUP($V135,$AU$5:$AV$13,2,0),"")</f>
        <v/>
      </c>
      <c r="AA135" s="70"/>
      <c r="AB135" s="71"/>
      <c r="AC135" s="71"/>
      <c r="AD135" s="72" t="str">
        <f t="shared" ref="AD135:AD198" ca="1" si="11">IF($U135="Closed","",(IF($AC135=0,"",(IF(OR($AI135="",$AI135="Enter the date"),NETWORKDAYS($AC135,TODAY()),NETWORKDAYS($AC135,$AI135))))))</f>
        <v/>
      </c>
      <c r="AE135" s="72" t="str">
        <f t="shared" ref="AE135:AE198" ca="1" si="12">IF(AND($U135="Open",OR($AI135="",$AI135="Enter the date")),$AD135,IFERROR($AD135+$AJ135,""))</f>
        <v/>
      </c>
      <c r="AF135" s="73"/>
      <c r="AG135" s="70"/>
      <c r="AH135" s="70"/>
      <c r="AI135" s="74" t="str">
        <f t="shared" ref="AI135:AI198" si="13">IF($AC135="","",(IF($AH135=0,IF($AG135=0,IF($AF135=0,"Enter the date",$AF135),$AG135),$AH135)))</f>
        <v/>
      </c>
      <c r="AJ135" s="75" t="str">
        <f t="shared" ref="AJ135:AJ198" ca="1" si="14">IF($U135="Closed","",IF(AI135="","",(IF($AI135="Enter The date","",(NETWORKDAYS($AI135,TODAY()))-1))))</f>
        <v/>
      </c>
      <c r="AK135" s="71"/>
      <c r="AL135" s="70"/>
      <c r="AM135" s="71"/>
      <c r="AN135" s="70"/>
    </row>
    <row r="136" spans="6:40" s="59" customFormat="1" x14ac:dyDescent="0.35">
      <c r="F136" s="65"/>
      <c r="J136" s="67"/>
      <c r="M136" s="68"/>
      <c r="W136" s="20" t="str">
        <f t="shared" si="10"/>
        <v/>
      </c>
      <c r="AA136" s="70"/>
      <c r="AB136" s="71"/>
      <c r="AC136" s="71"/>
      <c r="AD136" s="72" t="str">
        <f t="shared" ca="1" si="11"/>
        <v/>
      </c>
      <c r="AE136" s="72" t="str">
        <f t="shared" ca="1" si="12"/>
        <v/>
      </c>
      <c r="AF136" s="73"/>
      <c r="AG136" s="70"/>
      <c r="AH136" s="70"/>
      <c r="AI136" s="74" t="str">
        <f t="shared" si="13"/>
        <v/>
      </c>
      <c r="AJ136" s="75" t="str">
        <f t="shared" ca="1" si="14"/>
        <v/>
      </c>
      <c r="AK136" s="71"/>
      <c r="AL136" s="70"/>
      <c r="AM136" s="71"/>
      <c r="AN136" s="70"/>
    </row>
    <row r="137" spans="6:40" s="59" customFormat="1" x14ac:dyDescent="0.35">
      <c r="F137" s="65"/>
      <c r="J137" s="67"/>
      <c r="M137" s="68"/>
      <c r="W137" s="20" t="str">
        <f t="shared" si="10"/>
        <v/>
      </c>
      <c r="AA137" s="70"/>
      <c r="AB137" s="71"/>
      <c r="AC137" s="71"/>
      <c r="AD137" s="72" t="str">
        <f t="shared" ca="1" si="11"/>
        <v/>
      </c>
      <c r="AE137" s="72" t="str">
        <f t="shared" ca="1" si="12"/>
        <v/>
      </c>
      <c r="AF137" s="73"/>
      <c r="AG137" s="70"/>
      <c r="AH137" s="70"/>
      <c r="AI137" s="74" t="str">
        <f t="shared" si="13"/>
        <v/>
      </c>
      <c r="AJ137" s="75" t="str">
        <f t="shared" ca="1" si="14"/>
        <v/>
      </c>
      <c r="AK137" s="71"/>
      <c r="AL137" s="70"/>
      <c r="AM137" s="71"/>
      <c r="AN137" s="70"/>
    </row>
    <row r="138" spans="6:40" s="59" customFormat="1" x14ac:dyDescent="0.35">
      <c r="F138" s="65"/>
      <c r="J138" s="67"/>
      <c r="M138" s="68"/>
      <c r="W138" s="20" t="str">
        <f t="shared" si="10"/>
        <v/>
      </c>
      <c r="AA138" s="70"/>
      <c r="AB138" s="71"/>
      <c r="AC138" s="71"/>
      <c r="AD138" s="72" t="str">
        <f t="shared" ca="1" si="11"/>
        <v/>
      </c>
      <c r="AE138" s="72" t="str">
        <f t="shared" ca="1" si="12"/>
        <v/>
      </c>
      <c r="AF138" s="73"/>
      <c r="AG138" s="70"/>
      <c r="AH138" s="70"/>
      <c r="AI138" s="74" t="str">
        <f t="shared" si="13"/>
        <v/>
      </c>
      <c r="AJ138" s="75" t="str">
        <f t="shared" ca="1" si="14"/>
        <v/>
      </c>
      <c r="AK138" s="71"/>
      <c r="AL138" s="70"/>
      <c r="AM138" s="71"/>
      <c r="AN138" s="70"/>
    </row>
    <row r="139" spans="6:40" s="59" customFormat="1" x14ac:dyDescent="0.35">
      <c r="F139" s="65"/>
      <c r="J139" s="67"/>
      <c r="M139" s="68"/>
      <c r="W139" s="20" t="str">
        <f t="shared" si="10"/>
        <v/>
      </c>
      <c r="AA139" s="70"/>
      <c r="AB139" s="71"/>
      <c r="AC139" s="71"/>
      <c r="AD139" s="72" t="str">
        <f t="shared" ca="1" si="11"/>
        <v/>
      </c>
      <c r="AE139" s="72" t="str">
        <f t="shared" ca="1" si="12"/>
        <v/>
      </c>
      <c r="AF139" s="73"/>
      <c r="AG139" s="70"/>
      <c r="AH139" s="70"/>
      <c r="AI139" s="74" t="str">
        <f t="shared" si="13"/>
        <v/>
      </c>
      <c r="AJ139" s="75" t="str">
        <f t="shared" ca="1" si="14"/>
        <v/>
      </c>
      <c r="AK139" s="71"/>
      <c r="AL139" s="70"/>
      <c r="AM139" s="71"/>
      <c r="AN139" s="70"/>
    </row>
    <row r="140" spans="6:40" s="59" customFormat="1" x14ac:dyDescent="0.35">
      <c r="F140" s="65"/>
      <c r="J140" s="67"/>
      <c r="M140" s="68"/>
      <c r="W140" s="20" t="str">
        <f t="shared" si="10"/>
        <v/>
      </c>
      <c r="AA140" s="70"/>
      <c r="AB140" s="71"/>
      <c r="AC140" s="71"/>
      <c r="AD140" s="72" t="str">
        <f t="shared" ca="1" si="11"/>
        <v/>
      </c>
      <c r="AE140" s="72" t="str">
        <f t="shared" ca="1" si="12"/>
        <v/>
      </c>
      <c r="AF140" s="73"/>
      <c r="AG140" s="70"/>
      <c r="AH140" s="70"/>
      <c r="AI140" s="74" t="str">
        <f t="shared" si="13"/>
        <v/>
      </c>
      <c r="AJ140" s="75" t="str">
        <f t="shared" ca="1" si="14"/>
        <v/>
      </c>
      <c r="AK140" s="71"/>
      <c r="AL140" s="70"/>
      <c r="AM140" s="71"/>
      <c r="AN140" s="70"/>
    </row>
    <row r="141" spans="6:40" s="59" customFormat="1" x14ac:dyDescent="0.35">
      <c r="F141" s="65"/>
      <c r="J141" s="67"/>
      <c r="M141" s="68"/>
      <c r="W141" s="20" t="str">
        <f t="shared" si="10"/>
        <v/>
      </c>
      <c r="AA141" s="70"/>
      <c r="AB141" s="71"/>
      <c r="AC141" s="71"/>
      <c r="AD141" s="72" t="str">
        <f t="shared" ca="1" si="11"/>
        <v/>
      </c>
      <c r="AE141" s="72" t="str">
        <f t="shared" ca="1" si="12"/>
        <v/>
      </c>
      <c r="AF141" s="73"/>
      <c r="AG141" s="70"/>
      <c r="AH141" s="70"/>
      <c r="AI141" s="74" t="str">
        <f t="shared" si="13"/>
        <v/>
      </c>
      <c r="AJ141" s="75" t="str">
        <f t="shared" ca="1" si="14"/>
        <v/>
      </c>
      <c r="AK141" s="71"/>
      <c r="AL141" s="70"/>
      <c r="AM141" s="71"/>
      <c r="AN141" s="70"/>
    </row>
    <row r="142" spans="6:40" s="59" customFormat="1" x14ac:dyDescent="0.35">
      <c r="F142" s="65"/>
      <c r="J142" s="67"/>
      <c r="M142" s="68"/>
      <c r="W142" s="20" t="str">
        <f t="shared" si="10"/>
        <v/>
      </c>
      <c r="AA142" s="70"/>
      <c r="AB142" s="71"/>
      <c r="AC142" s="71"/>
      <c r="AD142" s="72" t="str">
        <f t="shared" ca="1" si="11"/>
        <v/>
      </c>
      <c r="AE142" s="72" t="str">
        <f t="shared" ca="1" si="12"/>
        <v/>
      </c>
      <c r="AF142" s="73"/>
      <c r="AG142" s="70"/>
      <c r="AH142" s="70"/>
      <c r="AI142" s="74" t="str">
        <f t="shared" si="13"/>
        <v/>
      </c>
      <c r="AJ142" s="75" t="str">
        <f t="shared" ca="1" si="14"/>
        <v/>
      </c>
      <c r="AK142" s="71"/>
      <c r="AL142" s="70"/>
      <c r="AM142" s="71"/>
      <c r="AN142" s="70"/>
    </row>
    <row r="143" spans="6:40" s="59" customFormat="1" x14ac:dyDescent="0.35">
      <c r="F143" s="65"/>
      <c r="J143" s="67"/>
      <c r="M143" s="68"/>
      <c r="W143" s="20" t="str">
        <f t="shared" si="10"/>
        <v/>
      </c>
      <c r="AA143" s="70"/>
      <c r="AB143" s="71"/>
      <c r="AC143" s="71"/>
      <c r="AD143" s="72" t="str">
        <f t="shared" ca="1" si="11"/>
        <v/>
      </c>
      <c r="AE143" s="72" t="str">
        <f t="shared" ca="1" si="12"/>
        <v/>
      </c>
      <c r="AF143" s="73"/>
      <c r="AG143" s="70"/>
      <c r="AH143" s="70"/>
      <c r="AI143" s="74" t="str">
        <f t="shared" si="13"/>
        <v/>
      </c>
      <c r="AJ143" s="75" t="str">
        <f t="shared" ca="1" si="14"/>
        <v/>
      </c>
      <c r="AK143" s="71"/>
      <c r="AL143" s="70"/>
      <c r="AM143" s="71"/>
      <c r="AN143" s="70"/>
    </row>
    <row r="144" spans="6:40" s="59" customFormat="1" x14ac:dyDescent="0.35">
      <c r="F144" s="65"/>
      <c r="J144" s="67"/>
      <c r="M144" s="68"/>
      <c r="W144" s="20" t="str">
        <f t="shared" si="10"/>
        <v/>
      </c>
      <c r="AA144" s="70"/>
      <c r="AB144" s="71"/>
      <c r="AC144" s="71"/>
      <c r="AD144" s="72" t="str">
        <f t="shared" ca="1" si="11"/>
        <v/>
      </c>
      <c r="AE144" s="72" t="str">
        <f t="shared" ca="1" si="12"/>
        <v/>
      </c>
      <c r="AF144" s="73"/>
      <c r="AG144" s="70"/>
      <c r="AH144" s="70"/>
      <c r="AI144" s="74" t="str">
        <f t="shared" si="13"/>
        <v/>
      </c>
      <c r="AJ144" s="75" t="str">
        <f t="shared" ca="1" si="14"/>
        <v/>
      </c>
      <c r="AK144" s="71"/>
      <c r="AL144" s="70"/>
      <c r="AM144" s="71"/>
      <c r="AN144" s="70"/>
    </row>
    <row r="145" spans="6:40" s="59" customFormat="1" x14ac:dyDescent="0.35">
      <c r="F145" s="65"/>
      <c r="J145" s="67"/>
      <c r="M145" s="68"/>
      <c r="W145" s="20" t="str">
        <f t="shared" si="10"/>
        <v/>
      </c>
      <c r="AA145" s="70"/>
      <c r="AB145" s="71"/>
      <c r="AC145" s="71"/>
      <c r="AD145" s="72" t="str">
        <f t="shared" ca="1" si="11"/>
        <v/>
      </c>
      <c r="AE145" s="72" t="str">
        <f t="shared" ca="1" si="12"/>
        <v/>
      </c>
      <c r="AF145" s="73"/>
      <c r="AG145" s="70"/>
      <c r="AH145" s="70"/>
      <c r="AI145" s="74" t="str">
        <f t="shared" si="13"/>
        <v/>
      </c>
      <c r="AJ145" s="75" t="str">
        <f t="shared" ca="1" si="14"/>
        <v/>
      </c>
      <c r="AK145" s="71"/>
      <c r="AL145" s="70"/>
      <c r="AM145" s="71"/>
      <c r="AN145" s="70"/>
    </row>
    <row r="146" spans="6:40" s="59" customFormat="1" x14ac:dyDescent="0.35">
      <c r="F146" s="65"/>
      <c r="J146" s="67"/>
      <c r="M146" s="68"/>
      <c r="W146" s="20" t="str">
        <f t="shared" si="10"/>
        <v/>
      </c>
      <c r="AA146" s="70"/>
      <c r="AB146" s="71"/>
      <c r="AC146" s="71"/>
      <c r="AD146" s="72" t="str">
        <f t="shared" ca="1" si="11"/>
        <v/>
      </c>
      <c r="AE146" s="72" t="str">
        <f t="shared" ca="1" si="12"/>
        <v/>
      </c>
      <c r="AF146" s="73"/>
      <c r="AG146" s="70"/>
      <c r="AH146" s="70"/>
      <c r="AI146" s="74" t="str">
        <f t="shared" si="13"/>
        <v/>
      </c>
      <c r="AJ146" s="75" t="str">
        <f t="shared" ca="1" si="14"/>
        <v/>
      </c>
      <c r="AK146" s="71"/>
      <c r="AL146" s="70"/>
      <c r="AM146" s="71"/>
      <c r="AN146" s="70"/>
    </row>
    <row r="147" spans="6:40" s="59" customFormat="1" x14ac:dyDescent="0.35">
      <c r="F147" s="65"/>
      <c r="J147" s="67"/>
      <c r="M147" s="68"/>
      <c r="W147" s="20" t="str">
        <f t="shared" si="10"/>
        <v/>
      </c>
      <c r="AA147" s="70"/>
      <c r="AB147" s="71"/>
      <c r="AC147" s="71"/>
      <c r="AD147" s="72" t="str">
        <f t="shared" ca="1" si="11"/>
        <v/>
      </c>
      <c r="AE147" s="72" t="str">
        <f t="shared" ca="1" si="12"/>
        <v/>
      </c>
      <c r="AF147" s="73"/>
      <c r="AG147" s="70"/>
      <c r="AH147" s="70"/>
      <c r="AI147" s="74" t="str">
        <f t="shared" si="13"/>
        <v/>
      </c>
      <c r="AJ147" s="75" t="str">
        <f t="shared" ca="1" si="14"/>
        <v/>
      </c>
      <c r="AK147" s="71"/>
      <c r="AL147" s="70"/>
      <c r="AM147" s="71"/>
      <c r="AN147" s="70"/>
    </row>
    <row r="148" spans="6:40" s="59" customFormat="1" x14ac:dyDescent="0.35">
      <c r="F148" s="65"/>
      <c r="J148" s="67"/>
      <c r="M148" s="68"/>
      <c r="W148" s="20" t="str">
        <f t="shared" si="10"/>
        <v/>
      </c>
      <c r="AA148" s="70"/>
      <c r="AB148" s="71"/>
      <c r="AC148" s="71"/>
      <c r="AD148" s="72" t="str">
        <f t="shared" ca="1" si="11"/>
        <v/>
      </c>
      <c r="AE148" s="72" t="str">
        <f t="shared" ca="1" si="12"/>
        <v/>
      </c>
      <c r="AF148" s="73"/>
      <c r="AG148" s="70"/>
      <c r="AH148" s="70"/>
      <c r="AI148" s="74" t="str">
        <f t="shared" si="13"/>
        <v/>
      </c>
      <c r="AJ148" s="75" t="str">
        <f t="shared" ca="1" si="14"/>
        <v/>
      </c>
      <c r="AK148" s="71"/>
      <c r="AL148" s="70"/>
      <c r="AM148" s="71"/>
      <c r="AN148" s="70"/>
    </row>
    <row r="149" spans="6:40" s="59" customFormat="1" x14ac:dyDescent="0.35">
      <c r="F149" s="65"/>
      <c r="J149" s="67"/>
      <c r="M149" s="68"/>
      <c r="W149" s="20" t="str">
        <f t="shared" si="10"/>
        <v/>
      </c>
      <c r="AA149" s="70"/>
      <c r="AB149" s="71"/>
      <c r="AC149" s="71"/>
      <c r="AD149" s="72" t="str">
        <f t="shared" ca="1" si="11"/>
        <v/>
      </c>
      <c r="AE149" s="72" t="str">
        <f t="shared" ca="1" si="12"/>
        <v/>
      </c>
      <c r="AF149" s="73"/>
      <c r="AG149" s="70"/>
      <c r="AH149" s="70"/>
      <c r="AI149" s="74" t="str">
        <f t="shared" si="13"/>
        <v/>
      </c>
      <c r="AJ149" s="75" t="str">
        <f t="shared" ca="1" si="14"/>
        <v/>
      </c>
      <c r="AK149" s="71"/>
      <c r="AL149" s="70"/>
      <c r="AM149" s="71"/>
      <c r="AN149" s="70"/>
    </row>
    <row r="150" spans="6:40" s="59" customFormat="1" x14ac:dyDescent="0.35">
      <c r="F150" s="65"/>
      <c r="J150" s="67"/>
      <c r="M150" s="68"/>
      <c r="W150" s="20" t="str">
        <f t="shared" si="10"/>
        <v/>
      </c>
      <c r="AA150" s="70"/>
      <c r="AB150" s="71"/>
      <c r="AC150" s="71"/>
      <c r="AD150" s="72" t="str">
        <f t="shared" ca="1" si="11"/>
        <v/>
      </c>
      <c r="AE150" s="72" t="str">
        <f t="shared" ca="1" si="12"/>
        <v/>
      </c>
      <c r="AF150" s="73"/>
      <c r="AG150" s="70"/>
      <c r="AH150" s="70"/>
      <c r="AI150" s="74" t="str">
        <f t="shared" si="13"/>
        <v/>
      </c>
      <c r="AJ150" s="75" t="str">
        <f t="shared" ca="1" si="14"/>
        <v/>
      </c>
      <c r="AK150" s="71"/>
      <c r="AL150" s="70"/>
      <c r="AM150" s="71"/>
      <c r="AN150" s="70"/>
    </row>
    <row r="151" spans="6:40" s="59" customFormat="1" x14ac:dyDescent="0.35">
      <c r="F151" s="65"/>
      <c r="J151" s="67"/>
      <c r="M151" s="68"/>
      <c r="W151" s="20" t="str">
        <f t="shared" si="10"/>
        <v/>
      </c>
      <c r="AA151" s="70"/>
      <c r="AB151" s="71"/>
      <c r="AC151" s="71"/>
      <c r="AD151" s="72" t="str">
        <f t="shared" ca="1" si="11"/>
        <v/>
      </c>
      <c r="AE151" s="72" t="str">
        <f t="shared" ca="1" si="12"/>
        <v/>
      </c>
      <c r="AF151" s="73"/>
      <c r="AG151" s="70"/>
      <c r="AH151" s="70"/>
      <c r="AI151" s="74" t="str">
        <f t="shared" si="13"/>
        <v/>
      </c>
      <c r="AJ151" s="75" t="str">
        <f t="shared" ca="1" si="14"/>
        <v/>
      </c>
      <c r="AK151" s="71"/>
      <c r="AL151" s="70"/>
      <c r="AM151" s="71"/>
      <c r="AN151" s="70"/>
    </row>
    <row r="152" spans="6:40" s="59" customFormat="1" x14ac:dyDescent="0.35">
      <c r="F152" s="65"/>
      <c r="J152" s="67"/>
      <c r="M152" s="68"/>
      <c r="W152" s="20" t="str">
        <f t="shared" si="10"/>
        <v/>
      </c>
      <c r="AA152" s="70"/>
      <c r="AB152" s="71"/>
      <c r="AC152" s="71"/>
      <c r="AD152" s="72" t="str">
        <f t="shared" ca="1" si="11"/>
        <v/>
      </c>
      <c r="AE152" s="72" t="str">
        <f t="shared" ca="1" si="12"/>
        <v/>
      </c>
      <c r="AF152" s="73"/>
      <c r="AG152" s="70"/>
      <c r="AH152" s="70"/>
      <c r="AI152" s="74" t="str">
        <f t="shared" si="13"/>
        <v/>
      </c>
      <c r="AJ152" s="75" t="str">
        <f t="shared" ca="1" si="14"/>
        <v/>
      </c>
      <c r="AK152" s="71"/>
      <c r="AL152" s="70"/>
      <c r="AM152" s="71"/>
      <c r="AN152" s="70"/>
    </row>
    <row r="153" spans="6:40" s="59" customFormat="1" x14ac:dyDescent="0.35">
      <c r="F153" s="65"/>
      <c r="J153" s="67"/>
      <c r="M153" s="68"/>
      <c r="W153" s="20" t="str">
        <f t="shared" si="10"/>
        <v/>
      </c>
      <c r="AA153" s="70"/>
      <c r="AB153" s="71"/>
      <c r="AC153" s="71"/>
      <c r="AD153" s="72" t="str">
        <f t="shared" ca="1" si="11"/>
        <v/>
      </c>
      <c r="AE153" s="72" t="str">
        <f t="shared" ca="1" si="12"/>
        <v/>
      </c>
      <c r="AF153" s="73"/>
      <c r="AG153" s="70"/>
      <c r="AH153" s="70"/>
      <c r="AI153" s="74" t="str">
        <f t="shared" si="13"/>
        <v/>
      </c>
      <c r="AJ153" s="75" t="str">
        <f t="shared" ca="1" si="14"/>
        <v/>
      </c>
      <c r="AK153" s="71"/>
      <c r="AL153" s="70"/>
      <c r="AM153" s="71"/>
      <c r="AN153" s="70"/>
    </row>
    <row r="154" spans="6:40" s="59" customFormat="1" x14ac:dyDescent="0.35">
      <c r="F154" s="65"/>
      <c r="J154" s="67"/>
      <c r="M154" s="68"/>
      <c r="W154" s="20" t="str">
        <f t="shared" si="10"/>
        <v/>
      </c>
      <c r="AA154" s="70"/>
      <c r="AB154" s="71"/>
      <c r="AC154" s="71"/>
      <c r="AD154" s="72" t="str">
        <f t="shared" ca="1" si="11"/>
        <v/>
      </c>
      <c r="AE154" s="72" t="str">
        <f t="shared" ca="1" si="12"/>
        <v/>
      </c>
      <c r="AF154" s="73"/>
      <c r="AG154" s="70"/>
      <c r="AH154" s="70"/>
      <c r="AI154" s="74" t="str">
        <f t="shared" si="13"/>
        <v/>
      </c>
      <c r="AJ154" s="75" t="str">
        <f t="shared" ca="1" si="14"/>
        <v/>
      </c>
      <c r="AK154" s="71"/>
      <c r="AL154" s="70"/>
      <c r="AM154" s="71"/>
      <c r="AN154" s="70"/>
    </row>
    <row r="155" spans="6:40" s="59" customFormat="1" x14ac:dyDescent="0.35">
      <c r="F155" s="65"/>
      <c r="J155" s="67"/>
      <c r="M155" s="68"/>
      <c r="W155" s="20" t="str">
        <f t="shared" si="10"/>
        <v/>
      </c>
      <c r="AA155" s="70"/>
      <c r="AB155" s="71"/>
      <c r="AC155" s="71"/>
      <c r="AD155" s="72" t="str">
        <f t="shared" ca="1" si="11"/>
        <v/>
      </c>
      <c r="AE155" s="72" t="str">
        <f t="shared" ca="1" si="12"/>
        <v/>
      </c>
      <c r="AF155" s="73"/>
      <c r="AG155" s="70"/>
      <c r="AH155" s="70"/>
      <c r="AI155" s="74" t="str">
        <f t="shared" si="13"/>
        <v/>
      </c>
      <c r="AJ155" s="75" t="str">
        <f t="shared" ca="1" si="14"/>
        <v/>
      </c>
      <c r="AK155" s="71"/>
      <c r="AL155" s="70"/>
      <c r="AM155" s="71"/>
      <c r="AN155" s="70"/>
    </row>
    <row r="156" spans="6:40" s="59" customFormat="1" x14ac:dyDescent="0.35">
      <c r="F156" s="65"/>
      <c r="J156" s="67"/>
      <c r="M156" s="68"/>
      <c r="W156" s="20" t="str">
        <f t="shared" si="10"/>
        <v/>
      </c>
      <c r="AA156" s="70"/>
      <c r="AB156" s="71"/>
      <c r="AC156" s="71"/>
      <c r="AD156" s="72" t="str">
        <f t="shared" ca="1" si="11"/>
        <v/>
      </c>
      <c r="AE156" s="72" t="str">
        <f t="shared" ca="1" si="12"/>
        <v/>
      </c>
      <c r="AF156" s="73"/>
      <c r="AG156" s="70"/>
      <c r="AH156" s="70"/>
      <c r="AI156" s="74" t="str">
        <f t="shared" si="13"/>
        <v/>
      </c>
      <c r="AJ156" s="75" t="str">
        <f t="shared" ca="1" si="14"/>
        <v/>
      </c>
      <c r="AK156" s="71"/>
      <c r="AL156" s="70"/>
      <c r="AM156" s="71"/>
      <c r="AN156" s="70"/>
    </row>
    <row r="157" spans="6:40" s="59" customFormat="1" x14ac:dyDescent="0.35">
      <c r="F157" s="65"/>
      <c r="J157" s="67"/>
      <c r="M157" s="68"/>
      <c r="W157" s="20" t="str">
        <f t="shared" si="10"/>
        <v/>
      </c>
      <c r="AA157" s="70"/>
      <c r="AB157" s="71"/>
      <c r="AC157" s="71"/>
      <c r="AD157" s="72" t="str">
        <f t="shared" ca="1" si="11"/>
        <v/>
      </c>
      <c r="AE157" s="72" t="str">
        <f t="shared" ca="1" si="12"/>
        <v/>
      </c>
      <c r="AF157" s="73"/>
      <c r="AG157" s="70"/>
      <c r="AH157" s="70"/>
      <c r="AI157" s="74" t="str">
        <f t="shared" si="13"/>
        <v/>
      </c>
      <c r="AJ157" s="75" t="str">
        <f t="shared" ca="1" si="14"/>
        <v/>
      </c>
      <c r="AK157" s="71"/>
      <c r="AL157" s="70"/>
      <c r="AM157" s="71"/>
      <c r="AN157" s="70"/>
    </row>
    <row r="158" spans="6:40" s="59" customFormat="1" x14ac:dyDescent="0.35">
      <c r="F158" s="65"/>
      <c r="J158" s="67"/>
      <c r="M158" s="68"/>
      <c r="W158" s="20" t="str">
        <f t="shared" si="10"/>
        <v/>
      </c>
      <c r="AA158" s="70"/>
      <c r="AB158" s="71"/>
      <c r="AC158" s="71"/>
      <c r="AD158" s="72" t="str">
        <f t="shared" ca="1" si="11"/>
        <v/>
      </c>
      <c r="AE158" s="72" t="str">
        <f t="shared" ca="1" si="12"/>
        <v/>
      </c>
      <c r="AF158" s="73"/>
      <c r="AG158" s="70"/>
      <c r="AH158" s="70"/>
      <c r="AI158" s="74" t="str">
        <f t="shared" si="13"/>
        <v/>
      </c>
      <c r="AJ158" s="75" t="str">
        <f t="shared" ca="1" si="14"/>
        <v/>
      </c>
      <c r="AK158" s="71"/>
      <c r="AL158" s="70"/>
      <c r="AM158" s="71"/>
      <c r="AN158" s="70"/>
    </row>
    <row r="159" spans="6:40" s="59" customFormat="1" x14ac:dyDescent="0.35">
      <c r="F159" s="65"/>
      <c r="J159" s="67"/>
      <c r="M159" s="68"/>
      <c r="W159" s="20" t="str">
        <f t="shared" si="10"/>
        <v/>
      </c>
      <c r="AA159" s="70"/>
      <c r="AB159" s="71"/>
      <c r="AC159" s="71"/>
      <c r="AD159" s="72" t="str">
        <f t="shared" ca="1" si="11"/>
        <v/>
      </c>
      <c r="AE159" s="72" t="str">
        <f t="shared" ca="1" si="12"/>
        <v/>
      </c>
      <c r="AF159" s="73"/>
      <c r="AG159" s="70"/>
      <c r="AH159" s="70"/>
      <c r="AI159" s="74" t="str">
        <f t="shared" si="13"/>
        <v/>
      </c>
      <c r="AJ159" s="75" t="str">
        <f t="shared" ca="1" si="14"/>
        <v/>
      </c>
      <c r="AK159" s="71"/>
      <c r="AL159" s="70"/>
      <c r="AM159" s="71"/>
      <c r="AN159" s="70"/>
    </row>
    <row r="160" spans="6:40" s="59" customFormat="1" x14ac:dyDescent="0.35">
      <c r="F160" s="65"/>
      <c r="J160" s="67"/>
      <c r="M160" s="68"/>
      <c r="W160" s="20" t="str">
        <f t="shared" si="10"/>
        <v/>
      </c>
      <c r="AA160" s="70"/>
      <c r="AB160" s="71"/>
      <c r="AC160" s="71"/>
      <c r="AD160" s="72" t="str">
        <f t="shared" ca="1" si="11"/>
        <v/>
      </c>
      <c r="AE160" s="72" t="str">
        <f t="shared" ca="1" si="12"/>
        <v/>
      </c>
      <c r="AF160" s="73"/>
      <c r="AG160" s="70"/>
      <c r="AH160" s="70"/>
      <c r="AI160" s="74" t="str">
        <f t="shared" si="13"/>
        <v/>
      </c>
      <c r="AJ160" s="75" t="str">
        <f t="shared" ca="1" si="14"/>
        <v/>
      </c>
      <c r="AK160" s="71"/>
      <c r="AL160" s="70"/>
      <c r="AM160" s="71"/>
      <c r="AN160" s="70"/>
    </row>
    <row r="161" spans="6:40" s="59" customFormat="1" x14ac:dyDescent="0.35">
      <c r="F161" s="65"/>
      <c r="J161" s="67"/>
      <c r="M161" s="68"/>
      <c r="W161" s="20" t="str">
        <f t="shared" si="10"/>
        <v/>
      </c>
      <c r="AA161" s="70"/>
      <c r="AB161" s="71"/>
      <c r="AC161" s="71"/>
      <c r="AD161" s="72" t="str">
        <f t="shared" ca="1" si="11"/>
        <v/>
      </c>
      <c r="AE161" s="72" t="str">
        <f t="shared" ca="1" si="12"/>
        <v/>
      </c>
      <c r="AF161" s="73"/>
      <c r="AG161" s="70"/>
      <c r="AH161" s="70"/>
      <c r="AI161" s="74" t="str">
        <f t="shared" si="13"/>
        <v/>
      </c>
      <c r="AJ161" s="75" t="str">
        <f t="shared" ca="1" si="14"/>
        <v/>
      </c>
      <c r="AK161" s="71"/>
      <c r="AL161" s="70"/>
      <c r="AM161" s="71"/>
      <c r="AN161" s="70"/>
    </row>
    <row r="162" spans="6:40" s="59" customFormat="1" x14ac:dyDescent="0.35">
      <c r="F162" s="65"/>
      <c r="J162" s="67"/>
      <c r="M162" s="68"/>
      <c r="W162" s="20" t="str">
        <f t="shared" si="10"/>
        <v/>
      </c>
      <c r="AA162" s="70"/>
      <c r="AB162" s="71"/>
      <c r="AC162" s="71"/>
      <c r="AD162" s="72" t="str">
        <f t="shared" ca="1" si="11"/>
        <v/>
      </c>
      <c r="AE162" s="72" t="str">
        <f t="shared" ca="1" si="12"/>
        <v/>
      </c>
      <c r="AF162" s="73"/>
      <c r="AG162" s="70"/>
      <c r="AH162" s="70"/>
      <c r="AI162" s="74" t="str">
        <f t="shared" si="13"/>
        <v/>
      </c>
      <c r="AJ162" s="75" t="str">
        <f t="shared" ca="1" si="14"/>
        <v/>
      </c>
      <c r="AK162" s="71"/>
      <c r="AL162" s="70"/>
      <c r="AM162" s="71"/>
      <c r="AN162" s="70"/>
    </row>
    <row r="163" spans="6:40" s="59" customFormat="1" x14ac:dyDescent="0.35">
      <c r="F163" s="65"/>
      <c r="J163" s="67"/>
      <c r="M163" s="68"/>
      <c r="W163" s="20" t="str">
        <f t="shared" si="10"/>
        <v/>
      </c>
      <c r="AA163" s="70"/>
      <c r="AB163" s="71"/>
      <c r="AC163" s="71"/>
      <c r="AD163" s="72" t="str">
        <f t="shared" ca="1" si="11"/>
        <v/>
      </c>
      <c r="AE163" s="72" t="str">
        <f t="shared" ca="1" si="12"/>
        <v/>
      </c>
      <c r="AF163" s="73"/>
      <c r="AG163" s="70"/>
      <c r="AH163" s="70"/>
      <c r="AI163" s="74" t="str">
        <f t="shared" si="13"/>
        <v/>
      </c>
      <c r="AJ163" s="75" t="str">
        <f t="shared" ca="1" si="14"/>
        <v/>
      </c>
      <c r="AK163" s="71"/>
      <c r="AL163" s="70"/>
      <c r="AM163" s="71"/>
      <c r="AN163" s="70"/>
    </row>
    <row r="164" spans="6:40" s="59" customFormat="1" x14ac:dyDescent="0.35">
      <c r="F164" s="65"/>
      <c r="J164" s="67"/>
      <c r="M164" s="68"/>
      <c r="W164" s="20" t="str">
        <f t="shared" si="10"/>
        <v/>
      </c>
      <c r="AA164" s="70"/>
      <c r="AB164" s="71"/>
      <c r="AC164" s="71"/>
      <c r="AD164" s="72" t="str">
        <f t="shared" ca="1" si="11"/>
        <v/>
      </c>
      <c r="AE164" s="72" t="str">
        <f t="shared" ca="1" si="12"/>
        <v/>
      </c>
      <c r="AF164" s="73"/>
      <c r="AG164" s="70"/>
      <c r="AH164" s="70"/>
      <c r="AI164" s="74" t="str">
        <f t="shared" si="13"/>
        <v/>
      </c>
      <c r="AJ164" s="75" t="str">
        <f t="shared" ca="1" si="14"/>
        <v/>
      </c>
      <c r="AK164" s="71"/>
      <c r="AL164" s="70"/>
      <c r="AM164" s="71"/>
      <c r="AN164" s="70"/>
    </row>
    <row r="165" spans="6:40" s="59" customFormat="1" x14ac:dyDescent="0.35">
      <c r="F165" s="65"/>
      <c r="J165" s="67"/>
      <c r="M165" s="68"/>
      <c r="W165" s="20" t="str">
        <f t="shared" si="10"/>
        <v/>
      </c>
      <c r="AA165" s="70"/>
      <c r="AB165" s="71"/>
      <c r="AC165" s="71"/>
      <c r="AD165" s="72" t="str">
        <f t="shared" ca="1" si="11"/>
        <v/>
      </c>
      <c r="AE165" s="72" t="str">
        <f t="shared" ca="1" si="12"/>
        <v/>
      </c>
      <c r="AF165" s="73"/>
      <c r="AG165" s="70"/>
      <c r="AH165" s="70"/>
      <c r="AI165" s="74" t="str">
        <f t="shared" si="13"/>
        <v/>
      </c>
      <c r="AJ165" s="75" t="str">
        <f t="shared" ca="1" si="14"/>
        <v/>
      </c>
      <c r="AK165" s="71"/>
      <c r="AL165" s="70"/>
      <c r="AM165" s="71"/>
      <c r="AN165" s="70"/>
    </row>
    <row r="166" spans="6:40" s="59" customFormat="1" x14ac:dyDescent="0.35">
      <c r="F166" s="65"/>
      <c r="J166" s="67"/>
      <c r="M166" s="68"/>
      <c r="W166" s="20" t="str">
        <f t="shared" si="10"/>
        <v/>
      </c>
      <c r="AA166" s="70"/>
      <c r="AB166" s="71"/>
      <c r="AC166" s="71"/>
      <c r="AD166" s="72" t="str">
        <f t="shared" ca="1" si="11"/>
        <v/>
      </c>
      <c r="AE166" s="72" t="str">
        <f t="shared" ca="1" si="12"/>
        <v/>
      </c>
      <c r="AF166" s="73"/>
      <c r="AG166" s="70"/>
      <c r="AH166" s="70"/>
      <c r="AI166" s="74" t="str">
        <f t="shared" si="13"/>
        <v/>
      </c>
      <c r="AJ166" s="75" t="str">
        <f t="shared" ca="1" si="14"/>
        <v/>
      </c>
      <c r="AK166" s="71"/>
      <c r="AL166" s="70"/>
      <c r="AM166" s="71"/>
      <c r="AN166" s="70"/>
    </row>
    <row r="167" spans="6:40" s="59" customFormat="1" x14ac:dyDescent="0.35">
      <c r="F167" s="65"/>
      <c r="J167" s="67"/>
      <c r="M167" s="68"/>
      <c r="W167" s="20" t="str">
        <f t="shared" si="10"/>
        <v/>
      </c>
      <c r="AA167" s="70"/>
      <c r="AB167" s="71"/>
      <c r="AC167" s="71"/>
      <c r="AD167" s="72" t="str">
        <f t="shared" ca="1" si="11"/>
        <v/>
      </c>
      <c r="AE167" s="72" t="str">
        <f t="shared" ca="1" si="12"/>
        <v/>
      </c>
      <c r="AF167" s="73"/>
      <c r="AG167" s="70"/>
      <c r="AH167" s="70"/>
      <c r="AI167" s="74" t="str">
        <f t="shared" si="13"/>
        <v/>
      </c>
      <c r="AJ167" s="75" t="str">
        <f t="shared" ca="1" si="14"/>
        <v/>
      </c>
      <c r="AK167" s="71"/>
      <c r="AL167" s="70"/>
      <c r="AM167" s="71"/>
      <c r="AN167" s="70"/>
    </row>
    <row r="168" spans="6:40" s="59" customFormat="1" x14ac:dyDescent="0.35">
      <c r="F168" s="65"/>
      <c r="J168" s="67"/>
      <c r="M168" s="68"/>
      <c r="W168" s="20" t="str">
        <f t="shared" si="10"/>
        <v/>
      </c>
      <c r="AA168" s="70"/>
      <c r="AB168" s="71"/>
      <c r="AC168" s="71"/>
      <c r="AD168" s="72" t="str">
        <f t="shared" ca="1" si="11"/>
        <v/>
      </c>
      <c r="AE168" s="72" t="str">
        <f t="shared" ca="1" si="12"/>
        <v/>
      </c>
      <c r="AF168" s="73"/>
      <c r="AG168" s="70"/>
      <c r="AH168" s="70"/>
      <c r="AI168" s="74" t="str">
        <f t="shared" si="13"/>
        <v/>
      </c>
      <c r="AJ168" s="75" t="str">
        <f t="shared" ca="1" si="14"/>
        <v/>
      </c>
      <c r="AK168" s="71"/>
      <c r="AL168" s="70"/>
      <c r="AM168" s="71"/>
      <c r="AN168" s="70"/>
    </row>
    <row r="169" spans="6:40" s="59" customFormat="1" x14ac:dyDescent="0.35">
      <c r="F169" s="65"/>
      <c r="J169" s="67"/>
      <c r="M169" s="68"/>
      <c r="W169" s="20" t="str">
        <f t="shared" si="10"/>
        <v/>
      </c>
      <c r="AA169" s="70"/>
      <c r="AB169" s="71"/>
      <c r="AC169" s="71"/>
      <c r="AD169" s="72" t="str">
        <f t="shared" ca="1" si="11"/>
        <v/>
      </c>
      <c r="AE169" s="72" t="str">
        <f t="shared" ca="1" si="12"/>
        <v/>
      </c>
      <c r="AF169" s="73"/>
      <c r="AG169" s="70"/>
      <c r="AH169" s="70"/>
      <c r="AI169" s="74" t="str">
        <f t="shared" si="13"/>
        <v/>
      </c>
      <c r="AJ169" s="75" t="str">
        <f t="shared" ca="1" si="14"/>
        <v/>
      </c>
      <c r="AK169" s="71"/>
      <c r="AL169" s="70"/>
      <c r="AM169" s="71"/>
      <c r="AN169" s="70"/>
    </row>
    <row r="170" spans="6:40" s="59" customFormat="1" x14ac:dyDescent="0.35">
      <c r="F170" s="65"/>
      <c r="J170" s="67"/>
      <c r="M170" s="68"/>
      <c r="W170" s="20" t="str">
        <f t="shared" si="10"/>
        <v/>
      </c>
      <c r="AA170" s="70"/>
      <c r="AB170" s="71"/>
      <c r="AC170" s="71"/>
      <c r="AD170" s="72" t="str">
        <f t="shared" ca="1" si="11"/>
        <v/>
      </c>
      <c r="AE170" s="72" t="str">
        <f t="shared" ca="1" si="12"/>
        <v/>
      </c>
      <c r="AF170" s="73"/>
      <c r="AG170" s="70"/>
      <c r="AH170" s="70"/>
      <c r="AI170" s="74" t="str">
        <f t="shared" si="13"/>
        <v/>
      </c>
      <c r="AJ170" s="75" t="str">
        <f t="shared" ca="1" si="14"/>
        <v/>
      </c>
      <c r="AK170" s="71"/>
      <c r="AL170" s="70"/>
      <c r="AM170" s="71"/>
      <c r="AN170" s="70"/>
    </row>
    <row r="171" spans="6:40" s="59" customFormat="1" x14ac:dyDescent="0.35">
      <c r="F171" s="65"/>
      <c r="J171" s="67"/>
      <c r="M171" s="68"/>
      <c r="W171" s="20" t="str">
        <f t="shared" si="10"/>
        <v/>
      </c>
      <c r="AA171" s="70"/>
      <c r="AB171" s="71"/>
      <c r="AC171" s="71"/>
      <c r="AD171" s="72" t="str">
        <f t="shared" ca="1" si="11"/>
        <v/>
      </c>
      <c r="AE171" s="72" t="str">
        <f t="shared" ca="1" si="12"/>
        <v/>
      </c>
      <c r="AF171" s="73"/>
      <c r="AG171" s="70"/>
      <c r="AH171" s="70"/>
      <c r="AI171" s="74" t="str">
        <f t="shared" si="13"/>
        <v/>
      </c>
      <c r="AJ171" s="75" t="str">
        <f t="shared" ca="1" si="14"/>
        <v/>
      </c>
      <c r="AK171" s="71"/>
      <c r="AL171" s="70"/>
      <c r="AM171" s="71"/>
      <c r="AN171" s="70"/>
    </row>
    <row r="172" spans="6:40" s="59" customFormat="1" x14ac:dyDescent="0.35">
      <c r="F172" s="65"/>
      <c r="J172" s="67"/>
      <c r="M172" s="68"/>
      <c r="W172" s="20" t="str">
        <f t="shared" si="10"/>
        <v/>
      </c>
      <c r="AA172" s="70"/>
      <c r="AB172" s="71"/>
      <c r="AC172" s="71"/>
      <c r="AD172" s="72" t="str">
        <f t="shared" ca="1" si="11"/>
        <v/>
      </c>
      <c r="AE172" s="72" t="str">
        <f t="shared" ca="1" si="12"/>
        <v/>
      </c>
      <c r="AF172" s="73"/>
      <c r="AG172" s="70"/>
      <c r="AH172" s="70"/>
      <c r="AI172" s="74" t="str">
        <f t="shared" si="13"/>
        <v/>
      </c>
      <c r="AJ172" s="75" t="str">
        <f t="shared" ca="1" si="14"/>
        <v/>
      </c>
      <c r="AK172" s="71"/>
      <c r="AL172" s="70"/>
      <c r="AM172" s="71"/>
      <c r="AN172" s="70"/>
    </row>
    <row r="173" spans="6:40" s="59" customFormat="1" x14ac:dyDescent="0.35">
      <c r="F173" s="65"/>
      <c r="J173" s="67"/>
      <c r="M173" s="68"/>
      <c r="W173" s="20" t="str">
        <f t="shared" si="10"/>
        <v/>
      </c>
      <c r="AA173" s="70"/>
      <c r="AB173" s="71"/>
      <c r="AC173" s="71"/>
      <c r="AD173" s="72" t="str">
        <f t="shared" ca="1" si="11"/>
        <v/>
      </c>
      <c r="AE173" s="72" t="str">
        <f t="shared" ca="1" si="12"/>
        <v/>
      </c>
      <c r="AF173" s="73"/>
      <c r="AG173" s="70"/>
      <c r="AH173" s="70"/>
      <c r="AI173" s="74" t="str">
        <f t="shared" si="13"/>
        <v/>
      </c>
      <c r="AJ173" s="75" t="str">
        <f t="shared" ca="1" si="14"/>
        <v/>
      </c>
      <c r="AK173" s="71"/>
      <c r="AL173" s="70"/>
      <c r="AM173" s="71"/>
      <c r="AN173" s="70"/>
    </row>
    <row r="174" spans="6:40" s="59" customFormat="1" x14ac:dyDescent="0.35">
      <c r="F174" s="65"/>
      <c r="J174" s="67"/>
      <c r="M174" s="68"/>
      <c r="W174" s="20" t="str">
        <f t="shared" si="10"/>
        <v/>
      </c>
      <c r="AA174" s="70"/>
      <c r="AB174" s="71"/>
      <c r="AC174" s="71"/>
      <c r="AD174" s="72" t="str">
        <f t="shared" ca="1" si="11"/>
        <v/>
      </c>
      <c r="AE174" s="72" t="str">
        <f t="shared" ca="1" si="12"/>
        <v/>
      </c>
      <c r="AF174" s="73"/>
      <c r="AG174" s="70"/>
      <c r="AH174" s="70"/>
      <c r="AI174" s="74" t="str">
        <f t="shared" si="13"/>
        <v/>
      </c>
      <c r="AJ174" s="75" t="str">
        <f t="shared" ca="1" si="14"/>
        <v/>
      </c>
      <c r="AK174" s="71"/>
      <c r="AL174" s="70"/>
      <c r="AM174" s="71"/>
      <c r="AN174" s="70"/>
    </row>
    <row r="175" spans="6:40" s="59" customFormat="1" x14ac:dyDescent="0.35">
      <c r="F175" s="65"/>
      <c r="J175" s="67"/>
      <c r="M175" s="68"/>
      <c r="W175" s="20" t="str">
        <f t="shared" si="10"/>
        <v/>
      </c>
      <c r="AA175" s="70"/>
      <c r="AB175" s="71"/>
      <c r="AC175" s="71"/>
      <c r="AD175" s="72" t="str">
        <f t="shared" ca="1" si="11"/>
        <v/>
      </c>
      <c r="AE175" s="72" t="str">
        <f t="shared" ca="1" si="12"/>
        <v/>
      </c>
      <c r="AF175" s="73"/>
      <c r="AG175" s="70"/>
      <c r="AH175" s="70"/>
      <c r="AI175" s="74" t="str">
        <f t="shared" si="13"/>
        <v/>
      </c>
      <c r="AJ175" s="75" t="str">
        <f t="shared" ca="1" si="14"/>
        <v/>
      </c>
      <c r="AK175" s="71"/>
      <c r="AL175" s="70"/>
      <c r="AM175" s="71"/>
      <c r="AN175" s="70"/>
    </row>
    <row r="176" spans="6:40" s="59" customFormat="1" x14ac:dyDescent="0.35">
      <c r="F176" s="65"/>
      <c r="J176" s="67"/>
      <c r="M176" s="68"/>
      <c r="W176" s="20" t="str">
        <f t="shared" si="10"/>
        <v/>
      </c>
      <c r="AA176" s="70"/>
      <c r="AB176" s="71"/>
      <c r="AC176" s="71"/>
      <c r="AD176" s="72" t="str">
        <f t="shared" ca="1" si="11"/>
        <v/>
      </c>
      <c r="AE176" s="72" t="str">
        <f t="shared" ca="1" si="12"/>
        <v/>
      </c>
      <c r="AF176" s="73"/>
      <c r="AG176" s="70"/>
      <c r="AH176" s="70"/>
      <c r="AI176" s="74" t="str">
        <f t="shared" si="13"/>
        <v/>
      </c>
      <c r="AJ176" s="75" t="str">
        <f t="shared" ca="1" si="14"/>
        <v/>
      </c>
      <c r="AK176" s="71"/>
      <c r="AL176" s="70"/>
      <c r="AM176" s="71"/>
      <c r="AN176" s="70"/>
    </row>
    <row r="177" spans="6:40" s="59" customFormat="1" x14ac:dyDescent="0.35">
      <c r="F177" s="65"/>
      <c r="J177" s="67"/>
      <c r="M177" s="68"/>
      <c r="W177" s="20" t="str">
        <f t="shared" si="10"/>
        <v/>
      </c>
      <c r="AA177" s="70"/>
      <c r="AB177" s="71"/>
      <c r="AC177" s="71"/>
      <c r="AD177" s="72" t="str">
        <f t="shared" ca="1" si="11"/>
        <v/>
      </c>
      <c r="AE177" s="72" t="str">
        <f t="shared" ca="1" si="12"/>
        <v/>
      </c>
      <c r="AF177" s="73"/>
      <c r="AG177" s="70"/>
      <c r="AH177" s="70"/>
      <c r="AI177" s="74" t="str">
        <f t="shared" si="13"/>
        <v/>
      </c>
      <c r="AJ177" s="75" t="str">
        <f t="shared" ca="1" si="14"/>
        <v/>
      </c>
      <c r="AK177" s="71"/>
      <c r="AL177" s="70"/>
      <c r="AM177" s="71"/>
      <c r="AN177" s="70"/>
    </row>
    <row r="178" spans="6:40" s="59" customFormat="1" x14ac:dyDescent="0.35">
      <c r="F178" s="65"/>
      <c r="J178" s="67"/>
      <c r="M178" s="68"/>
      <c r="W178" s="20" t="str">
        <f t="shared" si="10"/>
        <v/>
      </c>
      <c r="AA178" s="70"/>
      <c r="AB178" s="71"/>
      <c r="AC178" s="71"/>
      <c r="AD178" s="72" t="str">
        <f t="shared" ca="1" si="11"/>
        <v/>
      </c>
      <c r="AE178" s="72" t="str">
        <f t="shared" ca="1" si="12"/>
        <v/>
      </c>
      <c r="AF178" s="73"/>
      <c r="AG178" s="70"/>
      <c r="AH178" s="70"/>
      <c r="AI178" s="74" t="str">
        <f t="shared" si="13"/>
        <v/>
      </c>
      <c r="AJ178" s="75" t="str">
        <f t="shared" ca="1" si="14"/>
        <v/>
      </c>
      <c r="AK178" s="71"/>
      <c r="AL178" s="70"/>
      <c r="AM178" s="71"/>
      <c r="AN178" s="70"/>
    </row>
    <row r="179" spans="6:40" s="59" customFormat="1" x14ac:dyDescent="0.35">
      <c r="F179" s="65"/>
      <c r="J179" s="67"/>
      <c r="M179" s="68"/>
      <c r="W179" s="20" t="str">
        <f t="shared" si="10"/>
        <v/>
      </c>
      <c r="AA179" s="70"/>
      <c r="AB179" s="71"/>
      <c r="AC179" s="71"/>
      <c r="AD179" s="72" t="str">
        <f t="shared" ca="1" si="11"/>
        <v/>
      </c>
      <c r="AE179" s="72" t="str">
        <f t="shared" ca="1" si="12"/>
        <v/>
      </c>
      <c r="AF179" s="73"/>
      <c r="AG179" s="70"/>
      <c r="AH179" s="70"/>
      <c r="AI179" s="74" t="str">
        <f t="shared" si="13"/>
        <v/>
      </c>
      <c r="AJ179" s="75" t="str">
        <f t="shared" ca="1" si="14"/>
        <v/>
      </c>
      <c r="AK179" s="71"/>
      <c r="AL179" s="70"/>
      <c r="AM179" s="71"/>
      <c r="AN179" s="70"/>
    </row>
    <row r="180" spans="6:40" s="59" customFormat="1" x14ac:dyDescent="0.35">
      <c r="F180" s="65"/>
      <c r="J180" s="67"/>
      <c r="M180" s="68"/>
      <c r="W180" s="20" t="str">
        <f t="shared" si="10"/>
        <v/>
      </c>
      <c r="AA180" s="70"/>
      <c r="AB180" s="71"/>
      <c r="AC180" s="71"/>
      <c r="AD180" s="72" t="str">
        <f t="shared" ca="1" si="11"/>
        <v/>
      </c>
      <c r="AE180" s="72" t="str">
        <f t="shared" ca="1" si="12"/>
        <v/>
      </c>
      <c r="AF180" s="73"/>
      <c r="AG180" s="70"/>
      <c r="AH180" s="70"/>
      <c r="AI180" s="74" t="str">
        <f t="shared" si="13"/>
        <v/>
      </c>
      <c r="AJ180" s="75" t="str">
        <f t="shared" ca="1" si="14"/>
        <v/>
      </c>
      <c r="AK180" s="71"/>
      <c r="AL180" s="70"/>
      <c r="AM180" s="71"/>
      <c r="AN180" s="70"/>
    </row>
    <row r="181" spans="6:40" s="59" customFormat="1" x14ac:dyDescent="0.35">
      <c r="F181" s="65"/>
      <c r="J181" s="67"/>
      <c r="M181" s="68"/>
      <c r="W181" s="20" t="str">
        <f t="shared" si="10"/>
        <v/>
      </c>
      <c r="AA181" s="70"/>
      <c r="AB181" s="71"/>
      <c r="AC181" s="71"/>
      <c r="AD181" s="72" t="str">
        <f t="shared" ca="1" si="11"/>
        <v/>
      </c>
      <c r="AE181" s="72" t="str">
        <f t="shared" ca="1" si="12"/>
        <v/>
      </c>
      <c r="AF181" s="73"/>
      <c r="AG181" s="70"/>
      <c r="AH181" s="70"/>
      <c r="AI181" s="74" t="str">
        <f t="shared" si="13"/>
        <v/>
      </c>
      <c r="AJ181" s="75" t="str">
        <f t="shared" ca="1" si="14"/>
        <v/>
      </c>
      <c r="AK181" s="71"/>
      <c r="AL181" s="70"/>
      <c r="AM181" s="71"/>
      <c r="AN181" s="70"/>
    </row>
    <row r="182" spans="6:40" s="59" customFormat="1" x14ac:dyDescent="0.35">
      <c r="F182" s="65"/>
      <c r="J182" s="67"/>
      <c r="M182" s="68"/>
      <c r="W182" s="20" t="str">
        <f t="shared" si="10"/>
        <v/>
      </c>
      <c r="AA182" s="70"/>
      <c r="AB182" s="71"/>
      <c r="AC182" s="71"/>
      <c r="AD182" s="72" t="str">
        <f t="shared" ca="1" si="11"/>
        <v/>
      </c>
      <c r="AE182" s="72" t="str">
        <f t="shared" ca="1" si="12"/>
        <v/>
      </c>
      <c r="AF182" s="73"/>
      <c r="AG182" s="70"/>
      <c r="AH182" s="70"/>
      <c r="AI182" s="74" t="str">
        <f t="shared" si="13"/>
        <v/>
      </c>
      <c r="AJ182" s="75" t="str">
        <f t="shared" ca="1" si="14"/>
        <v/>
      </c>
      <c r="AK182" s="71"/>
      <c r="AL182" s="70"/>
      <c r="AM182" s="71"/>
      <c r="AN182" s="70"/>
    </row>
    <row r="183" spans="6:40" s="59" customFormat="1" x14ac:dyDescent="0.35">
      <c r="F183" s="65"/>
      <c r="J183" s="67"/>
      <c r="M183" s="68"/>
      <c r="W183" s="20" t="str">
        <f t="shared" si="10"/>
        <v/>
      </c>
      <c r="AA183" s="70"/>
      <c r="AB183" s="71"/>
      <c r="AC183" s="71"/>
      <c r="AD183" s="72" t="str">
        <f t="shared" ca="1" si="11"/>
        <v/>
      </c>
      <c r="AE183" s="72" t="str">
        <f t="shared" ca="1" si="12"/>
        <v/>
      </c>
      <c r="AF183" s="73"/>
      <c r="AG183" s="70"/>
      <c r="AH183" s="70"/>
      <c r="AI183" s="74" t="str">
        <f t="shared" si="13"/>
        <v/>
      </c>
      <c r="AJ183" s="75" t="str">
        <f t="shared" ca="1" si="14"/>
        <v/>
      </c>
      <c r="AK183" s="71"/>
      <c r="AL183" s="70"/>
      <c r="AM183" s="71"/>
      <c r="AN183" s="70"/>
    </row>
    <row r="184" spans="6:40" s="59" customFormat="1" x14ac:dyDescent="0.35">
      <c r="F184" s="65"/>
      <c r="J184" s="67"/>
      <c r="M184" s="68"/>
      <c r="W184" s="20" t="str">
        <f t="shared" si="10"/>
        <v/>
      </c>
      <c r="AA184" s="70"/>
      <c r="AB184" s="71"/>
      <c r="AC184" s="71"/>
      <c r="AD184" s="72" t="str">
        <f t="shared" ca="1" si="11"/>
        <v/>
      </c>
      <c r="AE184" s="72" t="str">
        <f t="shared" ca="1" si="12"/>
        <v/>
      </c>
      <c r="AF184" s="73"/>
      <c r="AG184" s="70"/>
      <c r="AH184" s="70"/>
      <c r="AI184" s="74" t="str">
        <f t="shared" si="13"/>
        <v/>
      </c>
      <c r="AJ184" s="75" t="str">
        <f t="shared" ca="1" si="14"/>
        <v/>
      </c>
      <c r="AK184" s="71"/>
      <c r="AL184" s="70"/>
      <c r="AM184" s="71"/>
      <c r="AN184" s="70"/>
    </row>
    <row r="185" spans="6:40" s="59" customFormat="1" x14ac:dyDescent="0.35">
      <c r="F185" s="65"/>
      <c r="J185" s="67"/>
      <c r="M185" s="68"/>
      <c r="W185" s="20" t="str">
        <f t="shared" si="10"/>
        <v/>
      </c>
      <c r="AA185" s="70"/>
      <c r="AB185" s="71"/>
      <c r="AC185" s="71"/>
      <c r="AD185" s="72" t="str">
        <f t="shared" ca="1" si="11"/>
        <v/>
      </c>
      <c r="AE185" s="72" t="str">
        <f t="shared" ca="1" si="12"/>
        <v/>
      </c>
      <c r="AF185" s="73"/>
      <c r="AG185" s="70"/>
      <c r="AH185" s="70"/>
      <c r="AI185" s="74" t="str">
        <f t="shared" si="13"/>
        <v/>
      </c>
      <c r="AJ185" s="75" t="str">
        <f t="shared" ca="1" si="14"/>
        <v/>
      </c>
      <c r="AK185" s="71"/>
      <c r="AL185" s="70"/>
      <c r="AM185" s="71"/>
      <c r="AN185" s="70"/>
    </row>
    <row r="186" spans="6:40" s="59" customFormat="1" x14ac:dyDescent="0.35">
      <c r="F186" s="65"/>
      <c r="J186" s="67"/>
      <c r="M186" s="68"/>
      <c r="W186" s="20" t="str">
        <f t="shared" si="10"/>
        <v/>
      </c>
      <c r="AA186" s="70"/>
      <c r="AB186" s="71"/>
      <c r="AC186" s="71"/>
      <c r="AD186" s="72" t="str">
        <f t="shared" ca="1" si="11"/>
        <v/>
      </c>
      <c r="AE186" s="72" t="str">
        <f t="shared" ca="1" si="12"/>
        <v/>
      </c>
      <c r="AF186" s="73"/>
      <c r="AG186" s="70"/>
      <c r="AH186" s="70"/>
      <c r="AI186" s="74" t="str">
        <f t="shared" si="13"/>
        <v/>
      </c>
      <c r="AJ186" s="75" t="str">
        <f t="shared" ca="1" si="14"/>
        <v/>
      </c>
      <c r="AK186" s="71"/>
      <c r="AL186" s="70"/>
      <c r="AM186" s="71"/>
      <c r="AN186" s="70"/>
    </row>
    <row r="187" spans="6:40" s="59" customFormat="1" x14ac:dyDescent="0.35">
      <c r="F187" s="65"/>
      <c r="J187" s="67"/>
      <c r="M187" s="68"/>
      <c r="W187" s="20" t="str">
        <f t="shared" si="10"/>
        <v/>
      </c>
      <c r="AA187" s="70"/>
      <c r="AB187" s="71"/>
      <c r="AC187" s="71"/>
      <c r="AD187" s="72" t="str">
        <f t="shared" ca="1" si="11"/>
        <v/>
      </c>
      <c r="AE187" s="72" t="str">
        <f t="shared" ca="1" si="12"/>
        <v/>
      </c>
      <c r="AF187" s="73"/>
      <c r="AG187" s="70"/>
      <c r="AH187" s="70"/>
      <c r="AI187" s="74" t="str">
        <f t="shared" si="13"/>
        <v/>
      </c>
      <c r="AJ187" s="75" t="str">
        <f t="shared" ca="1" si="14"/>
        <v/>
      </c>
      <c r="AK187" s="71"/>
      <c r="AL187" s="70"/>
      <c r="AM187" s="71"/>
      <c r="AN187" s="70"/>
    </row>
    <row r="188" spans="6:40" s="59" customFormat="1" x14ac:dyDescent="0.35">
      <c r="F188" s="65"/>
      <c r="J188" s="67"/>
      <c r="M188" s="68"/>
      <c r="W188" s="20" t="str">
        <f t="shared" si="10"/>
        <v/>
      </c>
      <c r="AA188" s="70"/>
      <c r="AB188" s="71"/>
      <c r="AC188" s="71"/>
      <c r="AD188" s="72" t="str">
        <f t="shared" ca="1" si="11"/>
        <v/>
      </c>
      <c r="AE188" s="72" t="str">
        <f t="shared" ca="1" si="12"/>
        <v/>
      </c>
      <c r="AF188" s="73"/>
      <c r="AG188" s="70"/>
      <c r="AH188" s="70"/>
      <c r="AI188" s="74" t="str">
        <f t="shared" si="13"/>
        <v/>
      </c>
      <c r="AJ188" s="75" t="str">
        <f t="shared" ca="1" si="14"/>
        <v/>
      </c>
      <c r="AK188" s="71"/>
      <c r="AL188" s="70"/>
      <c r="AM188" s="71"/>
      <c r="AN188" s="70"/>
    </row>
    <row r="189" spans="6:40" s="59" customFormat="1" x14ac:dyDescent="0.35">
      <c r="F189" s="65"/>
      <c r="J189" s="67"/>
      <c r="M189" s="68"/>
      <c r="W189" s="20" t="str">
        <f t="shared" si="10"/>
        <v/>
      </c>
      <c r="AA189" s="70"/>
      <c r="AB189" s="71"/>
      <c r="AC189" s="71"/>
      <c r="AD189" s="72" t="str">
        <f t="shared" ca="1" si="11"/>
        <v/>
      </c>
      <c r="AE189" s="72" t="str">
        <f t="shared" ca="1" si="12"/>
        <v/>
      </c>
      <c r="AF189" s="73"/>
      <c r="AG189" s="70"/>
      <c r="AH189" s="70"/>
      <c r="AI189" s="74" t="str">
        <f t="shared" si="13"/>
        <v/>
      </c>
      <c r="AJ189" s="75" t="str">
        <f t="shared" ca="1" si="14"/>
        <v/>
      </c>
      <c r="AK189" s="71"/>
      <c r="AL189" s="70"/>
      <c r="AM189" s="71"/>
      <c r="AN189" s="70"/>
    </row>
    <row r="190" spans="6:40" s="59" customFormat="1" x14ac:dyDescent="0.35">
      <c r="F190" s="65"/>
      <c r="J190" s="67"/>
      <c r="M190" s="68"/>
      <c r="W190" s="20" t="str">
        <f t="shared" si="10"/>
        <v/>
      </c>
      <c r="AA190" s="70"/>
      <c r="AB190" s="71"/>
      <c r="AC190" s="71"/>
      <c r="AD190" s="72" t="str">
        <f t="shared" ca="1" si="11"/>
        <v/>
      </c>
      <c r="AE190" s="72" t="str">
        <f t="shared" ca="1" si="12"/>
        <v/>
      </c>
      <c r="AF190" s="73"/>
      <c r="AG190" s="70"/>
      <c r="AH190" s="70"/>
      <c r="AI190" s="74" t="str">
        <f t="shared" si="13"/>
        <v/>
      </c>
      <c r="AJ190" s="75" t="str">
        <f t="shared" ca="1" si="14"/>
        <v/>
      </c>
      <c r="AK190" s="71"/>
      <c r="AL190" s="70"/>
      <c r="AM190" s="71"/>
      <c r="AN190" s="70"/>
    </row>
    <row r="191" spans="6:40" s="59" customFormat="1" x14ac:dyDescent="0.35">
      <c r="F191" s="65"/>
      <c r="J191" s="67"/>
      <c r="M191" s="68"/>
      <c r="W191" s="20" t="str">
        <f t="shared" si="10"/>
        <v/>
      </c>
      <c r="AA191" s="70"/>
      <c r="AB191" s="71"/>
      <c r="AC191" s="71"/>
      <c r="AD191" s="72" t="str">
        <f t="shared" ca="1" si="11"/>
        <v/>
      </c>
      <c r="AE191" s="72" t="str">
        <f t="shared" ca="1" si="12"/>
        <v/>
      </c>
      <c r="AF191" s="73"/>
      <c r="AG191" s="70"/>
      <c r="AH191" s="70"/>
      <c r="AI191" s="74" t="str">
        <f t="shared" si="13"/>
        <v/>
      </c>
      <c r="AJ191" s="75" t="str">
        <f t="shared" ca="1" si="14"/>
        <v/>
      </c>
      <c r="AK191" s="71"/>
      <c r="AL191" s="70"/>
      <c r="AM191" s="71"/>
      <c r="AN191" s="70"/>
    </row>
    <row r="192" spans="6:40" s="59" customFormat="1" x14ac:dyDescent="0.35">
      <c r="F192" s="65"/>
      <c r="J192" s="67"/>
      <c r="M192" s="68"/>
      <c r="W192" s="20" t="str">
        <f t="shared" si="10"/>
        <v/>
      </c>
      <c r="AA192" s="70"/>
      <c r="AB192" s="71"/>
      <c r="AC192" s="71"/>
      <c r="AD192" s="72" t="str">
        <f t="shared" ca="1" si="11"/>
        <v/>
      </c>
      <c r="AE192" s="72" t="str">
        <f t="shared" ca="1" si="12"/>
        <v/>
      </c>
      <c r="AF192" s="73"/>
      <c r="AG192" s="70"/>
      <c r="AH192" s="70"/>
      <c r="AI192" s="74" t="str">
        <f t="shared" si="13"/>
        <v/>
      </c>
      <c r="AJ192" s="75" t="str">
        <f t="shared" ca="1" si="14"/>
        <v/>
      </c>
      <c r="AK192" s="71"/>
      <c r="AL192" s="70"/>
      <c r="AM192" s="71"/>
      <c r="AN192" s="70"/>
    </row>
    <row r="193" spans="6:40" s="59" customFormat="1" x14ac:dyDescent="0.35">
      <c r="F193" s="65"/>
      <c r="J193" s="67"/>
      <c r="M193" s="68"/>
      <c r="W193" s="20" t="str">
        <f t="shared" si="10"/>
        <v/>
      </c>
      <c r="AA193" s="70"/>
      <c r="AB193" s="71"/>
      <c r="AC193" s="71"/>
      <c r="AD193" s="72" t="str">
        <f t="shared" ca="1" si="11"/>
        <v/>
      </c>
      <c r="AE193" s="72" t="str">
        <f t="shared" ca="1" si="12"/>
        <v/>
      </c>
      <c r="AF193" s="73"/>
      <c r="AG193" s="70"/>
      <c r="AH193" s="70"/>
      <c r="AI193" s="74" t="str">
        <f t="shared" si="13"/>
        <v/>
      </c>
      <c r="AJ193" s="75" t="str">
        <f t="shared" ca="1" si="14"/>
        <v/>
      </c>
      <c r="AK193" s="71"/>
      <c r="AL193" s="70"/>
      <c r="AM193" s="71"/>
      <c r="AN193" s="70"/>
    </row>
    <row r="194" spans="6:40" s="59" customFormat="1" x14ac:dyDescent="0.35">
      <c r="F194" s="65"/>
      <c r="J194" s="67"/>
      <c r="M194" s="68"/>
      <c r="W194" s="20" t="str">
        <f t="shared" si="10"/>
        <v/>
      </c>
      <c r="AA194" s="70"/>
      <c r="AB194" s="71"/>
      <c r="AC194" s="71"/>
      <c r="AD194" s="72" t="str">
        <f t="shared" ca="1" si="11"/>
        <v/>
      </c>
      <c r="AE194" s="72" t="str">
        <f t="shared" ca="1" si="12"/>
        <v/>
      </c>
      <c r="AF194" s="73"/>
      <c r="AG194" s="70"/>
      <c r="AH194" s="70"/>
      <c r="AI194" s="74" t="str">
        <f t="shared" si="13"/>
        <v/>
      </c>
      <c r="AJ194" s="75" t="str">
        <f t="shared" ca="1" si="14"/>
        <v/>
      </c>
      <c r="AK194" s="71"/>
      <c r="AL194" s="70"/>
      <c r="AM194" s="71"/>
      <c r="AN194" s="70"/>
    </row>
    <row r="195" spans="6:40" s="59" customFormat="1" x14ac:dyDescent="0.35">
      <c r="F195" s="65"/>
      <c r="J195" s="67"/>
      <c r="M195" s="68"/>
      <c r="W195" s="20" t="str">
        <f t="shared" si="10"/>
        <v/>
      </c>
      <c r="AA195" s="70"/>
      <c r="AB195" s="71"/>
      <c r="AC195" s="71"/>
      <c r="AD195" s="72" t="str">
        <f t="shared" ca="1" si="11"/>
        <v/>
      </c>
      <c r="AE195" s="72" t="str">
        <f t="shared" ca="1" si="12"/>
        <v/>
      </c>
      <c r="AF195" s="73"/>
      <c r="AG195" s="70"/>
      <c r="AH195" s="70"/>
      <c r="AI195" s="74" t="str">
        <f t="shared" si="13"/>
        <v/>
      </c>
      <c r="AJ195" s="75" t="str">
        <f t="shared" ca="1" si="14"/>
        <v/>
      </c>
      <c r="AK195" s="71"/>
      <c r="AL195" s="70"/>
      <c r="AM195" s="71"/>
      <c r="AN195" s="70"/>
    </row>
    <row r="196" spans="6:40" s="59" customFormat="1" x14ac:dyDescent="0.35">
      <c r="F196" s="65"/>
      <c r="J196" s="67"/>
      <c r="M196" s="68"/>
      <c r="W196" s="20" t="str">
        <f t="shared" si="10"/>
        <v/>
      </c>
      <c r="AA196" s="70"/>
      <c r="AB196" s="71"/>
      <c r="AC196" s="71"/>
      <c r="AD196" s="72" t="str">
        <f t="shared" ca="1" si="11"/>
        <v/>
      </c>
      <c r="AE196" s="72" t="str">
        <f t="shared" ca="1" si="12"/>
        <v/>
      </c>
      <c r="AF196" s="73"/>
      <c r="AG196" s="70"/>
      <c r="AH196" s="70"/>
      <c r="AI196" s="74" t="str">
        <f t="shared" si="13"/>
        <v/>
      </c>
      <c r="AJ196" s="75" t="str">
        <f t="shared" ca="1" si="14"/>
        <v/>
      </c>
      <c r="AK196" s="71"/>
      <c r="AL196" s="70"/>
      <c r="AM196" s="71"/>
      <c r="AN196" s="70"/>
    </row>
    <row r="197" spans="6:40" s="59" customFormat="1" x14ac:dyDescent="0.35">
      <c r="F197" s="65"/>
      <c r="J197" s="67"/>
      <c r="M197" s="68"/>
      <c r="W197" s="20" t="str">
        <f t="shared" si="10"/>
        <v/>
      </c>
      <c r="AA197" s="70"/>
      <c r="AB197" s="71"/>
      <c r="AC197" s="71"/>
      <c r="AD197" s="72" t="str">
        <f t="shared" ca="1" si="11"/>
        <v/>
      </c>
      <c r="AE197" s="72" t="str">
        <f t="shared" ca="1" si="12"/>
        <v/>
      </c>
      <c r="AF197" s="73"/>
      <c r="AG197" s="70"/>
      <c r="AH197" s="70"/>
      <c r="AI197" s="74" t="str">
        <f t="shared" si="13"/>
        <v/>
      </c>
      <c r="AJ197" s="75" t="str">
        <f t="shared" ca="1" si="14"/>
        <v/>
      </c>
      <c r="AK197" s="71"/>
      <c r="AL197" s="70"/>
      <c r="AM197" s="71"/>
      <c r="AN197" s="70"/>
    </row>
    <row r="198" spans="6:40" s="59" customFormat="1" x14ac:dyDescent="0.35">
      <c r="F198" s="65"/>
      <c r="J198" s="67"/>
      <c r="M198" s="68"/>
      <c r="W198" s="20" t="str">
        <f t="shared" si="10"/>
        <v/>
      </c>
      <c r="AA198" s="70"/>
      <c r="AB198" s="71"/>
      <c r="AC198" s="71"/>
      <c r="AD198" s="72" t="str">
        <f t="shared" ca="1" si="11"/>
        <v/>
      </c>
      <c r="AE198" s="72" t="str">
        <f t="shared" ca="1" si="12"/>
        <v/>
      </c>
      <c r="AF198" s="73"/>
      <c r="AG198" s="70"/>
      <c r="AH198" s="70"/>
      <c r="AI198" s="74" t="str">
        <f t="shared" si="13"/>
        <v/>
      </c>
      <c r="AJ198" s="75" t="str">
        <f t="shared" ca="1" si="14"/>
        <v/>
      </c>
      <c r="AK198" s="71"/>
      <c r="AL198" s="70"/>
      <c r="AM198" s="71"/>
      <c r="AN198" s="70"/>
    </row>
    <row r="199" spans="6:40" s="59" customFormat="1" x14ac:dyDescent="0.35">
      <c r="F199" s="65"/>
      <c r="J199" s="67"/>
      <c r="M199" s="68"/>
      <c r="W199" s="20" t="str">
        <f t="shared" ref="W199:W262" si="15">IFERROR(VLOOKUP($V199,$AU$5:$AV$13,2,0),"")</f>
        <v/>
      </c>
      <c r="AA199" s="70"/>
      <c r="AB199" s="71"/>
      <c r="AC199" s="71"/>
      <c r="AD199" s="72" t="str">
        <f t="shared" ref="AD199:AD262" ca="1" si="16">IF($U199="Closed","",(IF($AC199=0,"",(IF(OR($AI199="",$AI199="Enter the date"),NETWORKDAYS($AC199,TODAY()),NETWORKDAYS($AC199,$AI199))))))</f>
        <v/>
      </c>
      <c r="AE199" s="72" t="str">
        <f t="shared" ref="AE199:AE262" ca="1" si="17">IF(AND($U199="Open",OR($AI199="",$AI199="Enter the date")),$AD199,IFERROR($AD199+$AJ199,""))</f>
        <v/>
      </c>
      <c r="AF199" s="73"/>
      <c r="AG199" s="70"/>
      <c r="AH199" s="70"/>
      <c r="AI199" s="74" t="str">
        <f t="shared" ref="AI199:AI262" si="18">IF($AC199="","",(IF($AH199=0,IF($AG199=0,IF($AF199=0,"Enter the date",$AF199),$AG199),$AH199)))</f>
        <v/>
      </c>
      <c r="AJ199" s="75" t="str">
        <f t="shared" ref="AJ199:AJ262" ca="1" si="19">IF($U199="Closed","",IF(AI199="","",(IF($AI199="Enter The date","",(NETWORKDAYS($AI199,TODAY()))-1))))</f>
        <v/>
      </c>
      <c r="AK199" s="71"/>
      <c r="AL199" s="70"/>
      <c r="AM199" s="71"/>
      <c r="AN199" s="70"/>
    </row>
    <row r="200" spans="6:40" s="59" customFormat="1" x14ac:dyDescent="0.35">
      <c r="F200" s="65"/>
      <c r="J200" s="67"/>
      <c r="M200" s="68"/>
      <c r="W200" s="20" t="str">
        <f t="shared" si="15"/>
        <v/>
      </c>
      <c r="AA200" s="70"/>
      <c r="AB200" s="71"/>
      <c r="AC200" s="71"/>
      <c r="AD200" s="72" t="str">
        <f t="shared" ca="1" si="16"/>
        <v/>
      </c>
      <c r="AE200" s="72" t="str">
        <f t="shared" ca="1" si="17"/>
        <v/>
      </c>
      <c r="AF200" s="73"/>
      <c r="AG200" s="70"/>
      <c r="AH200" s="70"/>
      <c r="AI200" s="74" t="str">
        <f t="shared" si="18"/>
        <v/>
      </c>
      <c r="AJ200" s="75" t="str">
        <f t="shared" ca="1" si="19"/>
        <v/>
      </c>
      <c r="AK200" s="71"/>
      <c r="AL200" s="70"/>
      <c r="AM200" s="71"/>
      <c r="AN200" s="70"/>
    </row>
    <row r="201" spans="6:40" s="59" customFormat="1" x14ac:dyDescent="0.35">
      <c r="F201" s="65"/>
      <c r="J201" s="67"/>
      <c r="M201" s="68"/>
      <c r="W201" s="20" t="str">
        <f t="shared" si="15"/>
        <v/>
      </c>
      <c r="AA201" s="70"/>
      <c r="AB201" s="71"/>
      <c r="AC201" s="71"/>
      <c r="AD201" s="72" t="str">
        <f t="shared" ca="1" si="16"/>
        <v/>
      </c>
      <c r="AE201" s="72" t="str">
        <f t="shared" ca="1" si="17"/>
        <v/>
      </c>
      <c r="AF201" s="73"/>
      <c r="AG201" s="70"/>
      <c r="AH201" s="70"/>
      <c r="AI201" s="74" t="str">
        <f t="shared" si="18"/>
        <v/>
      </c>
      <c r="AJ201" s="75" t="str">
        <f t="shared" ca="1" si="19"/>
        <v/>
      </c>
      <c r="AK201" s="71"/>
      <c r="AL201" s="70"/>
      <c r="AM201" s="71"/>
      <c r="AN201" s="70"/>
    </row>
    <row r="202" spans="6:40" s="59" customFormat="1" x14ac:dyDescent="0.35">
      <c r="F202" s="65"/>
      <c r="J202" s="67"/>
      <c r="M202" s="68"/>
      <c r="W202" s="20" t="str">
        <f t="shared" si="15"/>
        <v/>
      </c>
      <c r="AA202" s="70"/>
      <c r="AB202" s="71"/>
      <c r="AC202" s="71"/>
      <c r="AD202" s="72" t="str">
        <f t="shared" ca="1" si="16"/>
        <v/>
      </c>
      <c r="AE202" s="72" t="str">
        <f t="shared" ca="1" si="17"/>
        <v/>
      </c>
      <c r="AF202" s="73"/>
      <c r="AG202" s="70"/>
      <c r="AH202" s="70"/>
      <c r="AI202" s="74" t="str">
        <f t="shared" si="18"/>
        <v/>
      </c>
      <c r="AJ202" s="75" t="str">
        <f t="shared" ca="1" si="19"/>
        <v/>
      </c>
      <c r="AK202" s="71"/>
      <c r="AL202" s="70"/>
      <c r="AM202" s="71"/>
      <c r="AN202" s="70"/>
    </row>
    <row r="203" spans="6:40" s="59" customFormat="1" x14ac:dyDescent="0.35">
      <c r="F203" s="65"/>
      <c r="J203" s="67"/>
      <c r="M203" s="68"/>
      <c r="W203" s="20" t="str">
        <f t="shared" si="15"/>
        <v/>
      </c>
      <c r="AA203" s="70"/>
      <c r="AB203" s="71"/>
      <c r="AC203" s="71"/>
      <c r="AD203" s="72" t="str">
        <f t="shared" ca="1" si="16"/>
        <v/>
      </c>
      <c r="AE203" s="72" t="str">
        <f t="shared" ca="1" si="17"/>
        <v/>
      </c>
      <c r="AF203" s="73"/>
      <c r="AG203" s="70"/>
      <c r="AH203" s="70"/>
      <c r="AI203" s="74" t="str">
        <f t="shared" si="18"/>
        <v/>
      </c>
      <c r="AJ203" s="75" t="str">
        <f t="shared" ca="1" si="19"/>
        <v/>
      </c>
      <c r="AK203" s="71"/>
      <c r="AL203" s="70"/>
      <c r="AM203" s="71"/>
      <c r="AN203" s="70"/>
    </row>
    <row r="204" spans="6:40" s="59" customFormat="1" x14ac:dyDescent="0.35">
      <c r="F204" s="65"/>
      <c r="J204" s="67"/>
      <c r="M204" s="68"/>
      <c r="W204" s="20" t="str">
        <f t="shared" si="15"/>
        <v/>
      </c>
      <c r="AA204" s="70"/>
      <c r="AB204" s="71"/>
      <c r="AC204" s="71"/>
      <c r="AD204" s="72" t="str">
        <f t="shared" ca="1" si="16"/>
        <v/>
      </c>
      <c r="AE204" s="72" t="str">
        <f t="shared" ca="1" si="17"/>
        <v/>
      </c>
      <c r="AF204" s="73"/>
      <c r="AG204" s="70"/>
      <c r="AH204" s="70"/>
      <c r="AI204" s="74" t="str">
        <f t="shared" si="18"/>
        <v/>
      </c>
      <c r="AJ204" s="75" t="str">
        <f t="shared" ca="1" si="19"/>
        <v/>
      </c>
      <c r="AK204" s="71"/>
      <c r="AL204" s="70"/>
      <c r="AM204" s="71"/>
      <c r="AN204" s="70"/>
    </row>
    <row r="205" spans="6:40" s="59" customFormat="1" x14ac:dyDescent="0.35">
      <c r="F205" s="65"/>
      <c r="J205" s="67"/>
      <c r="M205" s="68"/>
      <c r="W205" s="20" t="str">
        <f t="shared" si="15"/>
        <v/>
      </c>
      <c r="AA205" s="70"/>
      <c r="AB205" s="71"/>
      <c r="AC205" s="71"/>
      <c r="AD205" s="72" t="str">
        <f t="shared" ca="1" si="16"/>
        <v/>
      </c>
      <c r="AE205" s="72" t="str">
        <f t="shared" ca="1" si="17"/>
        <v/>
      </c>
      <c r="AF205" s="73"/>
      <c r="AG205" s="70"/>
      <c r="AH205" s="70"/>
      <c r="AI205" s="74" t="str">
        <f t="shared" si="18"/>
        <v/>
      </c>
      <c r="AJ205" s="75" t="str">
        <f t="shared" ca="1" si="19"/>
        <v/>
      </c>
      <c r="AK205" s="71"/>
      <c r="AL205" s="70"/>
      <c r="AM205" s="71"/>
      <c r="AN205" s="70"/>
    </row>
    <row r="206" spans="6:40" s="59" customFormat="1" x14ac:dyDescent="0.35">
      <c r="F206" s="65"/>
      <c r="J206" s="67"/>
      <c r="M206" s="68"/>
      <c r="W206" s="20" t="str">
        <f t="shared" si="15"/>
        <v/>
      </c>
      <c r="AA206" s="70"/>
      <c r="AB206" s="71"/>
      <c r="AC206" s="71"/>
      <c r="AD206" s="72" t="str">
        <f t="shared" ca="1" si="16"/>
        <v/>
      </c>
      <c r="AE206" s="72" t="str">
        <f t="shared" ca="1" si="17"/>
        <v/>
      </c>
      <c r="AF206" s="73"/>
      <c r="AG206" s="70"/>
      <c r="AH206" s="70"/>
      <c r="AI206" s="74" t="str">
        <f t="shared" si="18"/>
        <v/>
      </c>
      <c r="AJ206" s="75" t="str">
        <f t="shared" ca="1" si="19"/>
        <v/>
      </c>
      <c r="AK206" s="71"/>
      <c r="AL206" s="70"/>
      <c r="AM206" s="71"/>
      <c r="AN206" s="70"/>
    </row>
    <row r="207" spans="6:40" s="59" customFormat="1" x14ac:dyDescent="0.35">
      <c r="F207" s="65"/>
      <c r="J207" s="67"/>
      <c r="M207" s="68"/>
      <c r="W207" s="20" t="str">
        <f t="shared" si="15"/>
        <v/>
      </c>
      <c r="AA207" s="70"/>
      <c r="AB207" s="71"/>
      <c r="AC207" s="71"/>
      <c r="AD207" s="72" t="str">
        <f t="shared" ca="1" si="16"/>
        <v/>
      </c>
      <c r="AE207" s="72" t="str">
        <f t="shared" ca="1" si="17"/>
        <v/>
      </c>
      <c r="AF207" s="73"/>
      <c r="AG207" s="70"/>
      <c r="AH207" s="70"/>
      <c r="AI207" s="74" t="str">
        <f t="shared" si="18"/>
        <v/>
      </c>
      <c r="AJ207" s="75" t="str">
        <f t="shared" ca="1" si="19"/>
        <v/>
      </c>
      <c r="AK207" s="71"/>
      <c r="AL207" s="70"/>
      <c r="AM207" s="71"/>
      <c r="AN207" s="70"/>
    </row>
    <row r="208" spans="6:40" s="59" customFormat="1" x14ac:dyDescent="0.35">
      <c r="F208" s="65"/>
      <c r="J208" s="67"/>
      <c r="M208" s="68"/>
      <c r="W208" s="20" t="str">
        <f t="shared" si="15"/>
        <v/>
      </c>
      <c r="AA208" s="70"/>
      <c r="AB208" s="71"/>
      <c r="AC208" s="71"/>
      <c r="AD208" s="72" t="str">
        <f t="shared" ca="1" si="16"/>
        <v/>
      </c>
      <c r="AE208" s="72" t="str">
        <f t="shared" ca="1" si="17"/>
        <v/>
      </c>
      <c r="AF208" s="73"/>
      <c r="AG208" s="70"/>
      <c r="AH208" s="70"/>
      <c r="AI208" s="74" t="str">
        <f t="shared" si="18"/>
        <v/>
      </c>
      <c r="AJ208" s="75" t="str">
        <f t="shared" ca="1" si="19"/>
        <v/>
      </c>
      <c r="AK208" s="71"/>
      <c r="AL208" s="70"/>
      <c r="AM208" s="71"/>
      <c r="AN208" s="70"/>
    </row>
    <row r="209" spans="6:40" s="59" customFormat="1" x14ac:dyDescent="0.35">
      <c r="F209" s="65"/>
      <c r="J209" s="67"/>
      <c r="M209" s="68"/>
      <c r="W209" s="20" t="str">
        <f t="shared" si="15"/>
        <v/>
      </c>
      <c r="AA209" s="70"/>
      <c r="AB209" s="71"/>
      <c r="AC209" s="71"/>
      <c r="AD209" s="72" t="str">
        <f t="shared" ca="1" si="16"/>
        <v/>
      </c>
      <c r="AE209" s="72" t="str">
        <f t="shared" ca="1" si="17"/>
        <v/>
      </c>
      <c r="AF209" s="73"/>
      <c r="AG209" s="70"/>
      <c r="AH209" s="70"/>
      <c r="AI209" s="74" t="str">
        <f t="shared" si="18"/>
        <v/>
      </c>
      <c r="AJ209" s="75" t="str">
        <f t="shared" ca="1" si="19"/>
        <v/>
      </c>
      <c r="AK209" s="71"/>
      <c r="AL209" s="70"/>
      <c r="AM209" s="71"/>
      <c r="AN209" s="70"/>
    </row>
    <row r="210" spans="6:40" s="59" customFormat="1" x14ac:dyDescent="0.35">
      <c r="F210" s="65"/>
      <c r="J210" s="67"/>
      <c r="M210" s="68"/>
      <c r="W210" s="20" t="str">
        <f t="shared" si="15"/>
        <v/>
      </c>
      <c r="AA210" s="70"/>
      <c r="AB210" s="71"/>
      <c r="AC210" s="71"/>
      <c r="AD210" s="72" t="str">
        <f t="shared" ca="1" si="16"/>
        <v/>
      </c>
      <c r="AE210" s="72" t="str">
        <f t="shared" ca="1" si="17"/>
        <v/>
      </c>
      <c r="AF210" s="73"/>
      <c r="AG210" s="70"/>
      <c r="AH210" s="70"/>
      <c r="AI210" s="74" t="str">
        <f t="shared" si="18"/>
        <v/>
      </c>
      <c r="AJ210" s="75" t="str">
        <f t="shared" ca="1" si="19"/>
        <v/>
      </c>
      <c r="AK210" s="71"/>
      <c r="AL210" s="70"/>
      <c r="AM210" s="71"/>
      <c r="AN210" s="70"/>
    </row>
    <row r="211" spans="6:40" s="59" customFormat="1" x14ac:dyDescent="0.35">
      <c r="F211" s="65"/>
      <c r="J211" s="67"/>
      <c r="M211" s="68"/>
      <c r="W211" s="20" t="str">
        <f t="shared" si="15"/>
        <v/>
      </c>
      <c r="AA211" s="70"/>
      <c r="AB211" s="71"/>
      <c r="AC211" s="71"/>
      <c r="AD211" s="72" t="str">
        <f t="shared" ca="1" si="16"/>
        <v/>
      </c>
      <c r="AE211" s="72" t="str">
        <f t="shared" ca="1" si="17"/>
        <v/>
      </c>
      <c r="AF211" s="73"/>
      <c r="AG211" s="70"/>
      <c r="AH211" s="70"/>
      <c r="AI211" s="74" t="str">
        <f t="shared" si="18"/>
        <v/>
      </c>
      <c r="AJ211" s="75" t="str">
        <f t="shared" ca="1" si="19"/>
        <v/>
      </c>
      <c r="AK211" s="71"/>
      <c r="AL211" s="70"/>
      <c r="AM211" s="71"/>
      <c r="AN211" s="70"/>
    </row>
    <row r="212" spans="6:40" s="59" customFormat="1" x14ac:dyDescent="0.35">
      <c r="F212" s="65"/>
      <c r="J212" s="67"/>
      <c r="M212" s="68"/>
      <c r="W212" s="20" t="str">
        <f t="shared" si="15"/>
        <v/>
      </c>
      <c r="AA212" s="70"/>
      <c r="AB212" s="71"/>
      <c r="AC212" s="71"/>
      <c r="AD212" s="72" t="str">
        <f t="shared" ca="1" si="16"/>
        <v/>
      </c>
      <c r="AE212" s="72" t="str">
        <f t="shared" ca="1" si="17"/>
        <v/>
      </c>
      <c r="AF212" s="73"/>
      <c r="AG212" s="70"/>
      <c r="AH212" s="70"/>
      <c r="AI212" s="74" t="str">
        <f t="shared" si="18"/>
        <v/>
      </c>
      <c r="AJ212" s="75" t="str">
        <f t="shared" ca="1" si="19"/>
        <v/>
      </c>
      <c r="AK212" s="71"/>
      <c r="AL212" s="70"/>
      <c r="AM212" s="71"/>
      <c r="AN212" s="70"/>
    </row>
    <row r="213" spans="6:40" s="59" customFormat="1" x14ac:dyDescent="0.35">
      <c r="F213" s="65"/>
      <c r="J213" s="67"/>
      <c r="M213" s="68"/>
      <c r="W213" s="20" t="str">
        <f t="shared" si="15"/>
        <v/>
      </c>
      <c r="AA213" s="70"/>
      <c r="AB213" s="71"/>
      <c r="AC213" s="71"/>
      <c r="AD213" s="72" t="str">
        <f t="shared" ca="1" si="16"/>
        <v/>
      </c>
      <c r="AE213" s="72" t="str">
        <f t="shared" ca="1" si="17"/>
        <v/>
      </c>
      <c r="AF213" s="73"/>
      <c r="AG213" s="70"/>
      <c r="AH213" s="70"/>
      <c r="AI213" s="74" t="str">
        <f t="shared" si="18"/>
        <v/>
      </c>
      <c r="AJ213" s="75" t="str">
        <f t="shared" ca="1" si="19"/>
        <v/>
      </c>
      <c r="AK213" s="71"/>
      <c r="AL213" s="70"/>
      <c r="AM213" s="71"/>
      <c r="AN213" s="70"/>
    </row>
    <row r="214" spans="6:40" s="59" customFormat="1" x14ac:dyDescent="0.35">
      <c r="F214" s="65"/>
      <c r="J214" s="67"/>
      <c r="M214" s="68"/>
      <c r="W214" s="20" t="str">
        <f t="shared" si="15"/>
        <v/>
      </c>
      <c r="AA214" s="70"/>
      <c r="AB214" s="71"/>
      <c r="AC214" s="71"/>
      <c r="AD214" s="72" t="str">
        <f t="shared" ca="1" si="16"/>
        <v/>
      </c>
      <c r="AE214" s="72" t="str">
        <f t="shared" ca="1" si="17"/>
        <v/>
      </c>
      <c r="AF214" s="73"/>
      <c r="AG214" s="70"/>
      <c r="AH214" s="70"/>
      <c r="AI214" s="74" t="str">
        <f t="shared" si="18"/>
        <v/>
      </c>
      <c r="AJ214" s="75" t="str">
        <f t="shared" ca="1" si="19"/>
        <v/>
      </c>
      <c r="AK214" s="71"/>
      <c r="AL214" s="70"/>
      <c r="AM214" s="71"/>
      <c r="AN214" s="70"/>
    </row>
    <row r="215" spans="6:40" s="59" customFormat="1" x14ac:dyDescent="0.35">
      <c r="F215" s="65"/>
      <c r="J215" s="67"/>
      <c r="M215" s="68"/>
      <c r="W215" s="20" t="str">
        <f t="shared" si="15"/>
        <v/>
      </c>
      <c r="AA215" s="70"/>
      <c r="AB215" s="71"/>
      <c r="AC215" s="71"/>
      <c r="AD215" s="72" t="str">
        <f t="shared" ca="1" si="16"/>
        <v/>
      </c>
      <c r="AE215" s="72" t="str">
        <f t="shared" ca="1" si="17"/>
        <v/>
      </c>
      <c r="AF215" s="73"/>
      <c r="AG215" s="70"/>
      <c r="AH215" s="70"/>
      <c r="AI215" s="74" t="str">
        <f t="shared" si="18"/>
        <v/>
      </c>
      <c r="AJ215" s="75" t="str">
        <f t="shared" ca="1" si="19"/>
        <v/>
      </c>
      <c r="AK215" s="71"/>
      <c r="AL215" s="70"/>
      <c r="AM215" s="71"/>
      <c r="AN215" s="70"/>
    </row>
    <row r="216" spans="6:40" s="59" customFormat="1" x14ac:dyDescent="0.35">
      <c r="F216" s="65"/>
      <c r="J216" s="67"/>
      <c r="M216" s="68"/>
      <c r="W216" s="20" t="str">
        <f t="shared" si="15"/>
        <v/>
      </c>
      <c r="AA216" s="70"/>
      <c r="AB216" s="71"/>
      <c r="AC216" s="71"/>
      <c r="AD216" s="72" t="str">
        <f t="shared" ca="1" si="16"/>
        <v/>
      </c>
      <c r="AE216" s="72" t="str">
        <f t="shared" ca="1" si="17"/>
        <v/>
      </c>
      <c r="AF216" s="73"/>
      <c r="AG216" s="70"/>
      <c r="AH216" s="70"/>
      <c r="AI216" s="74" t="str">
        <f t="shared" si="18"/>
        <v/>
      </c>
      <c r="AJ216" s="75" t="str">
        <f t="shared" ca="1" si="19"/>
        <v/>
      </c>
      <c r="AK216" s="71"/>
      <c r="AL216" s="70"/>
      <c r="AM216" s="71"/>
      <c r="AN216" s="70"/>
    </row>
    <row r="217" spans="6:40" s="59" customFormat="1" x14ac:dyDescent="0.35">
      <c r="F217" s="65"/>
      <c r="J217" s="67"/>
      <c r="M217" s="68"/>
      <c r="W217" s="20" t="str">
        <f t="shared" si="15"/>
        <v/>
      </c>
      <c r="AA217" s="70"/>
      <c r="AB217" s="71"/>
      <c r="AC217" s="71"/>
      <c r="AD217" s="72" t="str">
        <f t="shared" ca="1" si="16"/>
        <v/>
      </c>
      <c r="AE217" s="72" t="str">
        <f t="shared" ca="1" si="17"/>
        <v/>
      </c>
      <c r="AF217" s="73"/>
      <c r="AG217" s="70"/>
      <c r="AH217" s="70"/>
      <c r="AI217" s="74" t="str">
        <f t="shared" si="18"/>
        <v/>
      </c>
      <c r="AJ217" s="75" t="str">
        <f t="shared" ca="1" si="19"/>
        <v/>
      </c>
      <c r="AK217" s="71"/>
      <c r="AL217" s="70"/>
      <c r="AM217" s="71"/>
      <c r="AN217" s="70"/>
    </row>
    <row r="218" spans="6:40" s="59" customFormat="1" x14ac:dyDescent="0.35">
      <c r="F218" s="65"/>
      <c r="J218" s="67"/>
      <c r="M218" s="68"/>
      <c r="W218" s="20" t="str">
        <f t="shared" si="15"/>
        <v/>
      </c>
      <c r="AA218" s="70"/>
      <c r="AB218" s="71"/>
      <c r="AC218" s="71"/>
      <c r="AD218" s="72" t="str">
        <f t="shared" ca="1" si="16"/>
        <v/>
      </c>
      <c r="AE218" s="72" t="str">
        <f t="shared" ca="1" si="17"/>
        <v/>
      </c>
      <c r="AF218" s="73"/>
      <c r="AG218" s="70"/>
      <c r="AH218" s="70"/>
      <c r="AI218" s="74" t="str">
        <f t="shared" si="18"/>
        <v/>
      </c>
      <c r="AJ218" s="75" t="str">
        <f t="shared" ca="1" si="19"/>
        <v/>
      </c>
      <c r="AK218" s="71"/>
      <c r="AL218" s="70"/>
      <c r="AM218" s="71"/>
      <c r="AN218" s="70"/>
    </row>
    <row r="219" spans="6:40" s="59" customFormat="1" x14ac:dyDescent="0.35">
      <c r="F219" s="65"/>
      <c r="J219" s="67"/>
      <c r="M219" s="68"/>
      <c r="W219" s="20" t="str">
        <f t="shared" si="15"/>
        <v/>
      </c>
      <c r="AA219" s="70"/>
      <c r="AB219" s="71"/>
      <c r="AC219" s="71"/>
      <c r="AD219" s="72" t="str">
        <f t="shared" ca="1" si="16"/>
        <v/>
      </c>
      <c r="AE219" s="72" t="str">
        <f t="shared" ca="1" si="17"/>
        <v/>
      </c>
      <c r="AF219" s="73"/>
      <c r="AG219" s="70"/>
      <c r="AH219" s="70"/>
      <c r="AI219" s="74" t="str">
        <f t="shared" si="18"/>
        <v/>
      </c>
      <c r="AJ219" s="75" t="str">
        <f t="shared" ca="1" si="19"/>
        <v/>
      </c>
      <c r="AK219" s="71"/>
      <c r="AL219" s="70"/>
      <c r="AM219" s="71"/>
      <c r="AN219" s="70"/>
    </row>
    <row r="220" spans="6:40" s="59" customFormat="1" x14ac:dyDescent="0.35">
      <c r="F220" s="65"/>
      <c r="J220" s="67"/>
      <c r="M220" s="68"/>
      <c r="W220" s="20" t="str">
        <f t="shared" si="15"/>
        <v/>
      </c>
      <c r="AA220" s="70"/>
      <c r="AB220" s="71"/>
      <c r="AC220" s="71"/>
      <c r="AD220" s="72" t="str">
        <f t="shared" ca="1" si="16"/>
        <v/>
      </c>
      <c r="AE220" s="72" t="str">
        <f t="shared" ca="1" si="17"/>
        <v/>
      </c>
      <c r="AF220" s="73"/>
      <c r="AG220" s="70"/>
      <c r="AH220" s="70"/>
      <c r="AI220" s="74" t="str">
        <f t="shared" si="18"/>
        <v/>
      </c>
      <c r="AJ220" s="75" t="str">
        <f t="shared" ca="1" si="19"/>
        <v/>
      </c>
      <c r="AK220" s="71"/>
      <c r="AL220" s="70"/>
      <c r="AM220" s="71"/>
      <c r="AN220" s="70"/>
    </row>
    <row r="221" spans="6:40" s="59" customFormat="1" x14ac:dyDescent="0.35">
      <c r="F221" s="65"/>
      <c r="J221" s="67"/>
      <c r="M221" s="68"/>
      <c r="W221" s="20" t="str">
        <f t="shared" si="15"/>
        <v/>
      </c>
      <c r="AA221" s="70"/>
      <c r="AB221" s="71"/>
      <c r="AC221" s="71"/>
      <c r="AD221" s="72" t="str">
        <f t="shared" ca="1" si="16"/>
        <v/>
      </c>
      <c r="AE221" s="72" t="str">
        <f t="shared" ca="1" si="17"/>
        <v/>
      </c>
      <c r="AF221" s="73"/>
      <c r="AG221" s="70"/>
      <c r="AH221" s="70"/>
      <c r="AI221" s="74" t="str">
        <f t="shared" si="18"/>
        <v/>
      </c>
      <c r="AJ221" s="75" t="str">
        <f t="shared" ca="1" si="19"/>
        <v/>
      </c>
      <c r="AK221" s="71"/>
      <c r="AL221" s="70"/>
      <c r="AM221" s="71"/>
      <c r="AN221" s="70"/>
    </row>
    <row r="222" spans="6:40" s="59" customFormat="1" x14ac:dyDescent="0.35">
      <c r="F222" s="65"/>
      <c r="J222" s="67"/>
      <c r="M222" s="68"/>
      <c r="W222" s="20" t="str">
        <f t="shared" si="15"/>
        <v/>
      </c>
      <c r="AA222" s="70"/>
      <c r="AB222" s="71"/>
      <c r="AC222" s="71"/>
      <c r="AD222" s="72" t="str">
        <f t="shared" ca="1" si="16"/>
        <v/>
      </c>
      <c r="AE222" s="72" t="str">
        <f t="shared" ca="1" si="17"/>
        <v/>
      </c>
      <c r="AF222" s="73"/>
      <c r="AG222" s="70"/>
      <c r="AH222" s="70"/>
      <c r="AI222" s="74" t="str">
        <f t="shared" si="18"/>
        <v/>
      </c>
      <c r="AJ222" s="75" t="str">
        <f t="shared" ca="1" si="19"/>
        <v/>
      </c>
      <c r="AK222" s="71"/>
      <c r="AL222" s="70"/>
      <c r="AM222" s="71"/>
      <c r="AN222" s="70"/>
    </row>
    <row r="223" spans="6:40" s="59" customFormat="1" x14ac:dyDescent="0.35">
      <c r="F223" s="65"/>
      <c r="J223" s="67"/>
      <c r="M223" s="68"/>
      <c r="W223" s="20" t="str">
        <f t="shared" si="15"/>
        <v/>
      </c>
      <c r="AA223" s="70"/>
      <c r="AB223" s="71"/>
      <c r="AC223" s="71"/>
      <c r="AD223" s="72" t="str">
        <f t="shared" ca="1" si="16"/>
        <v/>
      </c>
      <c r="AE223" s="72" t="str">
        <f t="shared" ca="1" si="17"/>
        <v/>
      </c>
      <c r="AF223" s="73"/>
      <c r="AG223" s="70"/>
      <c r="AH223" s="70"/>
      <c r="AI223" s="74" t="str">
        <f t="shared" si="18"/>
        <v/>
      </c>
      <c r="AJ223" s="75" t="str">
        <f t="shared" ca="1" si="19"/>
        <v/>
      </c>
      <c r="AK223" s="71"/>
      <c r="AL223" s="70"/>
      <c r="AM223" s="71"/>
      <c r="AN223" s="70"/>
    </row>
    <row r="224" spans="6:40" s="59" customFormat="1" x14ac:dyDescent="0.35">
      <c r="F224" s="65"/>
      <c r="J224" s="67"/>
      <c r="M224" s="68"/>
      <c r="W224" s="20" t="str">
        <f t="shared" si="15"/>
        <v/>
      </c>
      <c r="AA224" s="70"/>
      <c r="AB224" s="71"/>
      <c r="AC224" s="71"/>
      <c r="AD224" s="72" t="str">
        <f t="shared" ca="1" si="16"/>
        <v/>
      </c>
      <c r="AE224" s="72" t="str">
        <f t="shared" ca="1" si="17"/>
        <v/>
      </c>
      <c r="AF224" s="73"/>
      <c r="AG224" s="70"/>
      <c r="AH224" s="70"/>
      <c r="AI224" s="74" t="str">
        <f t="shared" si="18"/>
        <v/>
      </c>
      <c r="AJ224" s="75" t="str">
        <f t="shared" ca="1" si="19"/>
        <v/>
      </c>
      <c r="AK224" s="71"/>
      <c r="AL224" s="70"/>
      <c r="AM224" s="71"/>
      <c r="AN224" s="70"/>
    </row>
    <row r="225" spans="6:40" s="59" customFormat="1" x14ac:dyDescent="0.35">
      <c r="F225" s="65"/>
      <c r="J225" s="67"/>
      <c r="M225" s="68"/>
      <c r="W225" s="20" t="str">
        <f t="shared" si="15"/>
        <v/>
      </c>
      <c r="AA225" s="70"/>
      <c r="AB225" s="71"/>
      <c r="AC225" s="71"/>
      <c r="AD225" s="72" t="str">
        <f t="shared" ca="1" si="16"/>
        <v/>
      </c>
      <c r="AE225" s="72" t="str">
        <f t="shared" ca="1" si="17"/>
        <v/>
      </c>
      <c r="AF225" s="73"/>
      <c r="AG225" s="70"/>
      <c r="AH225" s="70"/>
      <c r="AI225" s="74" t="str">
        <f t="shared" si="18"/>
        <v/>
      </c>
      <c r="AJ225" s="75" t="str">
        <f t="shared" ca="1" si="19"/>
        <v/>
      </c>
      <c r="AK225" s="71"/>
      <c r="AL225" s="70"/>
      <c r="AM225" s="71"/>
      <c r="AN225" s="70"/>
    </row>
    <row r="226" spans="6:40" s="59" customFormat="1" x14ac:dyDescent="0.35">
      <c r="F226" s="65"/>
      <c r="J226" s="67"/>
      <c r="M226" s="68"/>
      <c r="W226" s="20" t="str">
        <f t="shared" si="15"/>
        <v/>
      </c>
      <c r="AA226" s="70"/>
      <c r="AB226" s="71"/>
      <c r="AC226" s="71"/>
      <c r="AD226" s="72" t="str">
        <f t="shared" ca="1" si="16"/>
        <v/>
      </c>
      <c r="AE226" s="72" t="str">
        <f t="shared" ca="1" si="17"/>
        <v/>
      </c>
      <c r="AF226" s="73"/>
      <c r="AG226" s="70"/>
      <c r="AH226" s="70"/>
      <c r="AI226" s="74" t="str">
        <f t="shared" si="18"/>
        <v/>
      </c>
      <c r="AJ226" s="75" t="str">
        <f t="shared" ca="1" si="19"/>
        <v/>
      </c>
      <c r="AK226" s="71"/>
      <c r="AL226" s="70"/>
      <c r="AM226" s="71"/>
      <c r="AN226" s="70"/>
    </row>
    <row r="227" spans="6:40" s="59" customFormat="1" x14ac:dyDescent="0.35">
      <c r="F227" s="65"/>
      <c r="J227" s="67"/>
      <c r="M227" s="68"/>
      <c r="W227" s="20" t="str">
        <f t="shared" si="15"/>
        <v/>
      </c>
      <c r="AA227" s="70"/>
      <c r="AB227" s="71"/>
      <c r="AC227" s="71"/>
      <c r="AD227" s="72" t="str">
        <f t="shared" ca="1" si="16"/>
        <v/>
      </c>
      <c r="AE227" s="72" t="str">
        <f t="shared" ca="1" si="17"/>
        <v/>
      </c>
      <c r="AF227" s="73"/>
      <c r="AG227" s="70"/>
      <c r="AH227" s="70"/>
      <c r="AI227" s="74" t="str">
        <f t="shared" si="18"/>
        <v/>
      </c>
      <c r="AJ227" s="75" t="str">
        <f t="shared" ca="1" si="19"/>
        <v/>
      </c>
      <c r="AK227" s="71"/>
      <c r="AL227" s="70"/>
      <c r="AM227" s="71"/>
      <c r="AN227" s="70"/>
    </row>
    <row r="228" spans="6:40" s="59" customFormat="1" x14ac:dyDescent="0.35">
      <c r="F228" s="65"/>
      <c r="J228" s="67"/>
      <c r="M228" s="68"/>
      <c r="W228" s="20" t="str">
        <f t="shared" si="15"/>
        <v/>
      </c>
      <c r="AA228" s="70"/>
      <c r="AB228" s="71"/>
      <c r="AC228" s="71"/>
      <c r="AD228" s="72" t="str">
        <f t="shared" ca="1" si="16"/>
        <v/>
      </c>
      <c r="AE228" s="72" t="str">
        <f t="shared" ca="1" si="17"/>
        <v/>
      </c>
      <c r="AF228" s="73"/>
      <c r="AG228" s="70"/>
      <c r="AH228" s="70"/>
      <c r="AI228" s="74" t="str">
        <f t="shared" si="18"/>
        <v/>
      </c>
      <c r="AJ228" s="75" t="str">
        <f t="shared" ca="1" si="19"/>
        <v/>
      </c>
      <c r="AK228" s="71"/>
      <c r="AL228" s="70"/>
      <c r="AM228" s="71"/>
      <c r="AN228" s="70"/>
    </row>
    <row r="229" spans="6:40" s="59" customFormat="1" x14ac:dyDescent="0.35">
      <c r="F229" s="65"/>
      <c r="J229" s="67"/>
      <c r="M229" s="68"/>
      <c r="W229" s="20" t="str">
        <f t="shared" si="15"/>
        <v/>
      </c>
      <c r="AA229" s="70"/>
      <c r="AB229" s="71"/>
      <c r="AC229" s="71"/>
      <c r="AD229" s="72" t="str">
        <f t="shared" ca="1" si="16"/>
        <v/>
      </c>
      <c r="AE229" s="72" t="str">
        <f t="shared" ca="1" si="17"/>
        <v/>
      </c>
      <c r="AF229" s="73"/>
      <c r="AG229" s="70"/>
      <c r="AH229" s="70"/>
      <c r="AI229" s="74" t="str">
        <f t="shared" si="18"/>
        <v/>
      </c>
      <c r="AJ229" s="75" t="str">
        <f t="shared" ca="1" si="19"/>
        <v/>
      </c>
      <c r="AK229" s="71"/>
      <c r="AL229" s="70"/>
      <c r="AM229" s="71"/>
      <c r="AN229" s="70"/>
    </row>
    <row r="230" spans="6:40" s="59" customFormat="1" x14ac:dyDescent="0.35">
      <c r="F230" s="65"/>
      <c r="J230" s="67"/>
      <c r="M230" s="68"/>
      <c r="W230" s="20" t="str">
        <f t="shared" si="15"/>
        <v/>
      </c>
      <c r="AA230" s="70"/>
      <c r="AB230" s="71"/>
      <c r="AC230" s="71"/>
      <c r="AD230" s="72" t="str">
        <f t="shared" ca="1" si="16"/>
        <v/>
      </c>
      <c r="AE230" s="72" t="str">
        <f t="shared" ca="1" si="17"/>
        <v/>
      </c>
      <c r="AF230" s="73"/>
      <c r="AG230" s="70"/>
      <c r="AH230" s="70"/>
      <c r="AI230" s="74" t="str">
        <f t="shared" si="18"/>
        <v/>
      </c>
      <c r="AJ230" s="75" t="str">
        <f t="shared" ca="1" si="19"/>
        <v/>
      </c>
      <c r="AK230" s="71"/>
      <c r="AL230" s="70"/>
      <c r="AM230" s="71"/>
      <c r="AN230" s="70"/>
    </row>
    <row r="231" spans="6:40" s="59" customFormat="1" x14ac:dyDescent="0.35">
      <c r="F231" s="65"/>
      <c r="J231" s="67"/>
      <c r="M231" s="68"/>
      <c r="W231" s="20" t="str">
        <f t="shared" si="15"/>
        <v/>
      </c>
      <c r="AA231" s="70"/>
      <c r="AB231" s="71"/>
      <c r="AC231" s="71"/>
      <c r="AD231" s="72" t="str">
        <f t="shared" ca="1" si="16"/>
        <v/>
      </c>
      <c r="AE231" s="72" t="str">
        <f t="shared" ca="1" si="17"/>
        <v/>
      </c>
      <c r="AF231" s="73"/>
      <c r="AG231" s="70"/>
      <c r="AH231" s="70"/>
      <c r="AI231" s="74" t="str">
        <f t="shared" si="18"/>
        <v/>
      </c>
      <c r="AJ231" s="75" t="str">
        <f t="shared" ca="1" si="19"/>
        <v/>
      </c>
      <c r="AK231" s="71"/>
      <c r="AL231" s="70"/>
      <c r="AM231" s="71"/>
      <c r="AN231" s="70"/>
    </row>
    <row r="232" spans="6:40" s="59" customFormat="1" x14ac:dyDescent="0.35">
      <c r="F232" s="65"/>
      <c r="J232" s="67"/>
      <c r="M232" s="68"/>
      <c r="W232" s="20" t="str">
        <f t="shared" si="15"/>
        <v/>
      </c>
      <c r="AA232" s="70"/>
      <c r="AB232" s="71"/>
      <c r="AC232" s="71"/>
      <c r="AD232" s="72" t="str">
        <f t="shared" ca="1" si="16"/>
        <v/>
      </c>
      <c r="AE232" s="72" t="str">
        <f t="shared" ca="1" si="17"/>
        <v/>
      </c>
      <c r="AF232" s="73"/>
      <c r="AG232" s="70"/>
      <c r="AH232" s="70"/>
      <c r="AI232" s="74" t="str">
        <f t="shared" si="18"/>
        <v/>
      </c>
      <c r="AJ232" s="75" t="str">
        <f t="shared" ca="1" si="19"/>
        <v/>
      </c>
      <c r="AK232" s="71"/>
      <c r="AL232" s="70"/>
      <c r="AM232" s="71"/>
      <c r="AN232" s="70"/>
    </row>
    <row r="233" spans="6:40" s="59" customFormat="1" x14ac:dyDescent="0.35">
      <c r="F233" s="65"/>
      <c r="J233" s="67"/>
      <c r="M233" s="68"/>
      <c r="W233" s="20" t="str">
        <f t="shared" si="15"/>
        <v/>
      </c>
      <c r="AA233" s="70"/>
      <c r="AB233" s="71"/>
      <c r="AC233" s="71"/>
      <c r="AD233" s="72" t="str">
        <f t="shared" ca="1" si="16"/>
        <v/>
      </c>
      <c r="AE233" s="72" t="str">
        <f t="shared" ca="1" si="17"/>
        <v/>
      </c>
      <c r="AF233" s="73"/>
      <c r="AG233" s="70"/>
      <c r="AH233" s="70"/>
      <c r="AI233" s="74" t="str">
        <f t="shared" si="18"/>
        <v/>
      </c>
      <c r="AJ233" s="75" t="str">
        <f t="shared" ca="1" si="19"/>
        <v/>
      </c>
      <c r="AK233" s="71"/>
      <c r="AL233" s="70"/>
      <c r="AM233" s="71"/>
      <c r="AN233" s="70"/>
    </row>
    <row r="234" spans="6:40" s="59" customFormat="1" x14ac:dyDescent="0.35">
      <c r="F234" s="65"/>
      <c r="J234" s="67"/>
      <c r="M234" s="68"/>
      <c r="W234" s="20" t="str">
        <f t="shared" si="15"/>
        <v/>
      </c>
      <c r="AA234" s="70"/>
      <c r="AB234" s="71"/>
      <c r="AC234" s="71"/>
      <c r="AD234" s="72" t="str">
        <f t="shared" ca="1" si="16"/>
        <v/>
      </c>
      <c r="AE234" s="72" t="str">
        <f t="shared" ca="1" si="17"/>
        <v/>
      </c>
      <c r="AF234" s="73"/>
      <c r="AG234" s="70"/>
      <c r="AH234" s="70"/>
      <c r="AI234" s="74" t="str">
        <f t="shared" si="18"/>
        <v/>
      </c>
      <c r="AJ234" s="75" t="str">
        <f t="shared" ca="1" si="19"/>
        <v/>
      </c>
      <c r="AK234" s="71"/>
      <c r="AL234" s="70"/>
      <c r="AM234" s="71"/>
      <c r="AN234" s="70"/>
    </row>
    <row r="235" spans="6:40" s="59" customFormat="1" x14ac:dyDescent="0.35">
      <c r="F235" s="65"/>
      <c r="J235" s="67"/>
      <c r="M235" s="68"/>
      <c r="W235" s="20" t="str">
        <f t="shared" si="15"/>
        <v/>
      </c>
      <c r="AA235" s="70"/>
      <c r="AB235" s="71"/>
      <c r="AC235" s="71"/>
      <c r="AD235" s="72" t="str">
        <f t="shared" ca="1" si="16"/>
        <v/>
      </c>
      <c r="AE235" s="72" t="str">
        <f t="shared" ca="1" si="17"/>
        <v/>
      </c>
      <c r="AF235" s="73"/>
      <c r="AG235" s="70"/>
      <c r="AH235" s="70"/>
      <c r="AI235" s="74" t="str">
        <f t="shared" si="18"/>
        <v/>
      </c>
      <c r="AJ235" s="75" t="str">
        <f t="shared" ca="1" si="19"/>
        <v/>
      </c>
      <c r="AK235" s="71"/>
      <c r="AL235" s="70"/>
      <c r="AM235" s="71"/>
      <c r="AN235" s="70"/>
    </row>
    <row r="236" spans="6:40" s="59" customFormat="1" x14ac:dyDescent="0.35">
      <c r="F236" s="65"/>
      <c r="J236" s="67"/>
      <c r="M236" s="68"/>
      <c r="W236" s="20" t="str">
        <f t="shared" si="15"/>
        <v/>
      </c>
      <c r="AA236" s="70"/>
      <c r="AB236" s="71"/>
      <c r="AC236" s="71"/>
      <c r="AD236" s="72" t="str">
        <f t="shared" ca="1" si="16"/>
        <v/>
      </c>
      <c r="AE236" s="72" t="str">
        <f t="shared" ca="1" si="17"/>
        <v/>
      </c>
      <c r="AF236" s="73"/>
      <c r="AG236" s="70"/>
      <c r="AH236" s="70"/>
      <c r="AI236" s="74" t="str">
        <f t="shared" si="18"/>
        <v/>
      </c>
      <c r="AJ236" s="75" t="str">
        <f t="shared" ca="1" si="19"/>
        <v/>
      </c>
      <c r="AK236" s="71"/>
      <c r="AL236" s="70"/>
      <c r="AM236" s="71"/>
      <c r="AN236" s="70"/>
    </row>
    <row r="237" spans="6:40" s="59" customFormat="1" x14ac:dyDescent="0.35">
      <c r="F237" s="65"/>
      <c r="J237" s="67"/>
      <c r="M237" s="68"/>
      <c r="W237" s="20" t="str">
        <f t="shared" si="15"/>
        <v/>
      </c>
      <c r="AA237" s="70"/>
      <c r="AB237" s="71"/>
      <c r="AC237" s="71"/>
      <c r="AD237" s="72" t="str">
        <f t="shared" ca="1" si="16"/>
        <v/>
      </c>
      <c r="AE237" s="72" t="str">
        <f t="shared" ca="1" si="17"/>
        <v/>
      </c>
      <c r="AF237" s="73"/>
      <c r="AG237" s="70"/>
      <c r="AH237" s="70"/>
      <c r="AI237" s="74" t="str">
        <f t="shared" si="18"/>
        <v/>
      </c>
      <c r="AJ237" s="75" t="str">
        <f t="shared" ca="1" si="19"/>
        <v/>
      </c>
      <c r="AK237" s="71"/>
      <c r="AL237" s="70"/>
      <c r="AM237" s="71"/>
      <c r="AN237" s="70"/>
    </row>
    <row r="238" spans="6:40" s="59" customFormat="1" x14ac:dyDescent="0.35">
      <c r="F238" s="65"/>
      <c r="J238" s="67"/>
      <c r="M238" s="68"/>
      <c r="W238" s="20" t="str">
        <f t="shared" si="15"/>
        <v/>
      </c>
      <c r="AA238" s="70"/>
      <c r="AB238" s="71"/>
      <c r="AC238" s="71"/>
      <c r="AD238" s="72" t="str">
        <f t="shared" ca="1" si="16"/>
        <v/>
      </c>
      <c r="AE238" s="72" t="str">
        <f t="shared" ca="1" si="17"/>
        <v/>
      </c>
      <c r="AF238" s="73"/>
      <c r="AG238" s="70"/>
      <c r="AH238" s="70"/>
      <c r="AI238" s="74" t="str">
        <f t="shared" si="18"/>
        <v/>
      </c>
      <c r="AJ238" s="75" t="str">
        <f t="shared" ca="1" si="19"/>
        <v/>
      </c>
      <c r="AK238" s="71"/>
      <c r="AL238" s="70"/>
      <c r="AM238" s="71"/>
      <c r="AN238" s="70"/>
    </row>
    <row r="239" spans="6:40" s="59" customFormat="1" x14ac:dyDescent="0.35">
      <c r="F239" s="65"/>
      <c r="J239" s="67"/>
      <c r="M239" s="68"/>
      <c r="W239" s="20" t="str">
        <f t="shared" si="15"/>
        <v/>
      </c>
      <c r="AA239" s="70"/>
      <c r="AB239" s="71"/>
      <c r="AC239" s="71"/>
      <c r="AD239" s="72" t="str">
        <f t="shared" ca="1" si="16"/>
        <v/>
      </c>
      <c r="AE239" s="72" t="str">
        <f t="shared" ca="1" si="17"/>
        <v/>
      </c>
      <c r="AF239" s="73"/>
      <c r="AG239" s="70"/>
      <c r="AH239" s="70"/>
      <c r="AI239" s="74" t="str">
        <f t="shared" si="18"/>
        <v/>
      </c>
      <c r="AJ239" s="75" t="str">
        <f t="shared" ca="1" si="19"/>
        <v/>
      </c>
      <c r="AK239" s="71"/>
      <c r="AL239" s="70"/>
      <c r="AM239" s="71"/>
      <c r="AN239" s="70"/>
    </row>
    <row r="240" spans="6:40" s="59" customFormat="1" x14ac:dyDescent="0.35">
      <c r="F240" s="65"/>
      <c r="J240" s="67"/>
      <c r="M240" s="68"/>
      <c r="W240" s="20" t="str">
        <f t="shared" si="15"/>
        <v/>
      </c>
      <c r="AA240" s="70"/>
      <c r="AB240" s="71"/>
      <c r="AC240" s="71"/>
      <c r="AD240" s="72" t="str">
        <f t="shared" ca="1" si="16"/>
        <v/>
      </c>
      <c r="AE240" s="72" t="str">
        <f t="shared" ca="1" si="17"/>
        <v/>
      </c>
      <c r="AF240" s="73"/>
      <c r="AG240" s="70"/>
      <c r="AH240" s="70"/>
      <c r="AI240" s="74" t="str">
        <f t="shared" si="18"/>
        <v/>
      </c>
      <c r="AJ240" s="75" t="str">
        <f t="shared" ca="1" si="19"/>
        <v/>
      </c>
      <c r="AK240" s="71"/>
      <c r="AL240" s="70"/>
      <c r="AM240" s="71"/>
      <c r="AN240" s="70"/>
    </row>
    <row r="241" spans="6:40" s="59" customFormat="1" x14ac:dyDescent="0.35">
      <c r="F241" s="65"/>
      <c r="J241" s="67"/>
      <c r="M241" s="68"/>
      <c r="W241" s="20" t="str">
        <f t="shared" si="15"/>
        <v/>
      </c>
      <c r="AA241" s="70"/>
      <c r="AB241" s="71"/>
      <c r="AC241" s="71"/>
      <c r="AD241" s="72" t="str">
        <f t="shared" ca="1" si="16"/>
        <v/>
      </c>
      <c r="AE241" s="72" t="str">
        <f t="shared" ca="1" si="17"/>
        <v/>
      </c>
      <c r="AF241" s="73"/>
      <c r="AG241" s="70"/>
      <c r="AH241" s="70"/>
      <c r="AI241" s="74" t="str">
        <f t="shared" si="18"/>
        <v/>
      </c>
      <c r="AJ241" s="75" t="str">
        <f t="shared" ca="1" si="19"/>
        <v/>
      </c>
      <c r="AK241" s="71"/>
      <c r="AL241" s="70"/>
      <c r="AM241" s="71"/>
      <c r="AN241" s="70"/>
    </row>
    <row r="242" spans="6:40" s="59" customFormat="1" x14ac:dyDescent="0.35">
      <c r="F242" s="65"/>
      <c r="J242" s="67"/>
      <c r="M242" s="68"/>
      <c r="W242" s="20" t="str">
        <f t="shared" si="15"/>
        <v/>
      </c>
      <c r="AA242" s="70"/>
      <c r="AB242" s="71"/>
      <c r="AC242" s="71"/>
      <c r="AD242" s="72" t="str">
        <f t="shared" ca="1" si="16"/>
        <v/>
      </c>
      <c r="AE242" s="72" t="str">
        <f t="shared" ca="1" si="17"/>
        <v/>
      </c>
      <c r="AF242" s="73"/>
      <c r="AG242" s="70"/>
      <c r="AH242" s="70"/>
      <c r="AI242" s="74" t="str">
        <f t="shared" si="18"/>
        <v/>
      </c>
      <c r="AJ242" s="75" t="str">
        <f t="shared" ca="1" si="19"/>
        <v/>
      </c>
      <c r="AK242" s="71"/>
      <c r="AL242" s="70"/>
      <c r="AM242" s="71"/>
      <c r="AN242" s="70"/>
    </row>
    <row r="243" spans="6:40" s="59" customFormat="1" x14ac:dyDescent="0.35">
      <c r="F243" s="65"/>
      <c r="J243" s="67"/>
      <c r="M243" s="68"/>
      <c r="W243" s="20" t="str">
        <f t="shared" si="15"/>
        <v/>
      </c>
      <c r="AA243" s="70"/>
      <c r="AB243" s="71"/>
      <c r="AC243" s="71"/>
      <c r="AD243" s="72" t="str">
        <f t="shared" ca="1" si="16"/>
        <v/>
      </c>
      <c r="AE243" s="72" t="str">
        <f t="shared" ca="1" si="17"/>
        <v/>
      </c>
      <c r="AF243" s="73"/>
      <c r="AG243" s="70"/>
      <c r="AH243" s="70"/>
      <c r="AI243" s="74" t="str">
        <f t="shared" si="18"/>
        <v/>
      </c>
      <c r="AJ243" s="75" t="str">
        <f t="shared" ca="1" si="19"/>
        <v/>
      </c>
      <c r="AK243" s="71"/>
      <c r="AL243" s="70"/>
      <c r="AM243" s="71"/>
      <c r="AN243" s="70"/>
    </row>
    <row r="244" spans="6:40" s="59" customFormat="1" x14ac:dyDescent="0.35">
      <c r="F244" s="65"/>
      <c r="J244" s="67"/>
      <c r="M244" s="68"/>
      <c r="W244" s="20" t="str">
        <f t="shared" si="15"/>
        <v/>
      </c>
      <c r="AA244" s="70"/>
      <c r="AB244" s="71"/>
      <c r="AC244" s="71"/>
      <c r="AD244" s="72" t="str">
        <f t="shared" ca="1" si="16"/>
        <v/>
      </c>
      <c r="AE244" s="72" t="str">
        <f t="shared" ca="1" si="17"/>
        <v/>
      </c>
      <c r="AF244" s="73"/>
      <c r="AG244" s="70"/>
      <c r="AH244" s="70"/>
      <c r="AI244" s="74" t="str">
        <f t="shared" si="18"/>
        <v/>
      </c>
      <c r="AJ244" s="75" t="str">
        <f t="shared" ca="1" si="19"/>
        <v/>
      </c>
      <c r="AK244" s="71"/>
      <c r="AL244" s="70"/>
      <c r="AM244" s="71"/>
      <c r="AN244" s="70"/>
    </row>
    <row r="245" spans="6:40" s="59" customFormat="1" x14ac:dyDescent="0.35">
      <c r="F245" s="65"/>
      <c r="J245" s="67"/>
      <c r="M245" s="68"/>
      <c r="W245" s="20" t="str">
        <f t="shared" si="15"/>
        <v/>
      </c>
      <c r="AA245" s="70"/>
      <c r="AB245" s="71"/>
      <c r="AC245" s="71"/>
      <c r="AD245" s="72" t="str">
        <f t="shared" ca="1" si="16"/>
        <v/>
      </c>
      <c r="AE245" s="72" t="str">
        <f t="shared" ca="1" si="17"/>
        <v/>
      </c>
      <c r="AF245" s="73"/>
      <c r="AG245" s="70"/>
      <c r="AH245" s="70"/>
      <c r="AI245" s="74" t="str">
        <f t="shared" si="18"/>
        <v/>
      </c>
      <c r="AJ245" s="75" t="str">
        <f t="shared" ca="1" si="19"/>
        <v/>
      </c>
      <c r="AK245" s="71"/>
      <c r="AL245" s="70"/>
      <c r="AM245" s="71"/>
      <c r="AN245" s="70"/>
    </row>
    <row r="246" spans="6:40" s="59" customFormat="1" x14ac:dyDescent="0.35">
      <c r="F246" s="65"/>
      <c r="J246" s="67"/>
      <c r="M246" s="68"/>
      <c r="W246" s="20" t="str">
        <f t="shared" si="15"/>
        <v/>
      </c>
      <c r="AA246" s="70"/>
      <c r="AB246" s="71"/>
      <c r="AC246" s="71"/>
      <c r="AD246" s="72" t="str">
        <f t="shared" ca="1" si="16"/>
        <v/>
      </c>
      <c r="AE246" s="72" t="str">
        <f t="shared" ca="1" si="17"/>
        <v/>
      </c>
      <c r="AF246" s="73"/>
      <c r="AG246" s="70"/>
      <c r="AH246" s="70"/>
      <c r="AI246" s="74" t="str">
        <f t="shared" si="18"/>
        <v/>
      </c>
      <c r="AJ246" s="75" t="str">
        <f t="shared" ca="1" si="19"/>
        <v/>
      </c>
      <c r="AK246" s="71"/>
      <c r="AL246" s="70"/>
      <c r="AM246" s="71"/>
      <c r="AN246" s="70"/>
    </row>
    <row r="247" spans="6:40" s="59" customFormat="1" x14ac:dyDescent="0.35">
      <c r="F247" s="65"/>
      <c r="J247" s="67"/>
      <c r="M247" s="68"/>
      <c r="W247" s="20" t="str">
        <f t="shared" si="15"/>
        <v/>
      </c>
      <c r="AA247" s="70"/>
      <c r="AB247" s="71"/>
      <c r="AC247" s="71"/>
      <c r="AD247" s="72" t="str">
        <f t="shared" ca="1" si="16"/>
        <v/>
      </c>
      <c r="AE247" s="72" t="str">
        <f t="shared" ca="1" si="17"/>
        <v/>
      </c>
      <c r="AF247" s="73"/>
      <c r="AG247" s="70"/>
      <c r="AH247" s="70"/>
      <c r="AI247" s="74" t="str">
        <f t="shared" si="18"/>
        <v/>
      </c>
      <c r="AJ247" s="75" t="str">
        <f t="shared" ca="1" si="19"/>
        <v/>
      </c>
      <c r="AK247" s="71"/>
      <c r="AL247" s="70"/>
      <c r="AM247" s="71"/>
      <c r="AN247" s="70"/>
    </row>
    <row r="248" spans="6:40" s="59" customFormat="1" x14ac:dyDescent="0.35">
      <c r="F248" s="65"/>
      <c r="J248" s="67"/>
      <c r="M248" s="68"/>
      <c r="W248" s="20" t="str">
        <f t="shared" si="15"/>
        <v/>
      </c>
      <c r="AA248" s="70"/>
      <c r="AB248" s="71"/>
      <c r="AC248" s="71"/>
      <c r="AD248" s="72" t="str">
        <f t="shared" ca="1" si="16"/>
        <v/>
      </c>
      <c r="AE248" s="72" t="str">
        <f t="shared" ca="1" si="17"/>
        <v/>
      </c>
      <c r="AF248" s="73"/>
      <c r="AG248" s="70"/>
      <c r="AH248" s="70"/>
      <c r="AI248" s="74" t="str">
        <f t="shared" si="18"/>
        <v/>
      </c>
      <c r="AJ248" s="75" t="str">
        <f t="shared" ca="1" si="19"/>
        <v/>
      </c>
      <c r="AK248" s="71"/>
      <c r="AL248" s="70"/>
      <c r="AM248" s="71"/>
      <c r="AN248" s="70"/>
    </row>
    <row r="249" spans="6:40" s="59" customFormat="1" x14ac:dyDescent="0.35">
      <c r="F249" s="65"/>
      <c r="J249" s="67"/>
      <c r="M249" s="68"/>
      <c r="W249" s="20" t="str">
        <f t="shared" si="15"/>
        <v/>
      </c>
      <c r="AA249" s="70"/>
      <c r="AB249" s="71"/>
      <c r="AC249" s="71"/>
      <c r="AD249" s="72" t="str">
        <f t="shared" ca="1" si="16"/>
        <v/>
      </c>
      <c r="AE249" s="72" t="str">
        <f t="shared" ca="1" si="17"/>
        <v/>
      </c>
      <c r="AF249" s="73"/>
      <c r="AG249" s="70"/>
      <c r="AH249" s="70"/>
      <c r="AI249" s="74" t="str">
        <f t="shared" si="18"/>
        <v/>
      </c>
      <c r="AJ249" s="75" t="str">
        <f t="shared" ca="1" si="19"/>
        <v/>
      </c>
      <c r="AK249" s="71"/>
      <c r="AL249" s="70"/>
      <c r="AM249" s="71"/>
      <c r="AN249" s="70"/>
    </row>
    <row r="250" spans="6:40" s="59" customFormat="1" x14ac:dyDescent="0.35">
      <c r="F250" s="65"/>
      <c r="J250" s="67"/>
      <c r="M250" s="68"/>
      <c r="W250" s="20" t="str">
        <f t="shared" si="15"/>
        <v/>
      </c>
      <c r="AA250" s="70"/>
      <c r="AB250" s="71"/>
      <c r="AC250" s="71"/>
      <c r="AD250" s="72" t="str">
        <f t="shared" ca="1" si="16"/>
        <v/>
      </c>
      <c r="AE250" s="72" t="str">
        <f t="shared" ca="1" si="17"/>
        <v/>
      </c>
      <c r="AF250" s="73"/>
      <c r="AG250" s="70"/>
      <c r="AH250" s="70"/>
      <c r="AI250" s="74" t="str">
        <f t="shared" si="18"/>
        <v/>
      </c>
      <c r="AJ250" s="75" t="str">
        <f t="shared" ca="1" si="19"/>
        <v/>
      </c>
      <c r="AK250" s="71"/>
      <c r="AL250" s="70"/>
      <c r="AM250" s="71"/>
      <c r="AN250" s="70"/>
    </row>
    <row r="251" spans="6:40" s="59" customFormat="1" x14ac:dyDescent="0.35">
      <c r="F251" s="65"/>
      <c r="J251" s="67"/>
      <c r="M251" s="68"/>
      <c r="W251" s="20" t="str">
        <f t="shared" si="15"/>
        <v/>
      </c>
      <c r="AA251" s="70"/>
      <c r="AB251" s="71"/>
      <c r="AC251" s="71"/>
      <c r="AD251" s="72" t="str">
        <f t="shared" ca="1" si="16"/>
        <v/>
      </c>
      <c r="AE251" s="72" t="str">
        <f t="shared" ca="1" si="17"/>
        <v/>
      </c>
      <c r="AF251" s="73"/>
      <c r="AG251" s="70"/>
      <c r="AH251" s="70"/>
      <c r="AI251" s="74" t="str">
        <f t="shared" si="18"/>
        <v/>
      </c>
      <c r="AJ251" s="75" t="str">
        <f t="shared" ca="1" si="19"/>
        <v/>
      </c>
      <c r="AK251" s="71"/>
      <c r="AL251" s="70"/>
      <c r="AM251" s="71"/>
      <c r="AN251" s="70"/>
    </row>
    <row r="252" spans="6:40" s="59" customFormat="1" x14ac:dyDescent="0.35">
      <c r="F252" s="65"/>
      <c r="J252" s="67"/>
      <c r="M252" s="68"/>
      <c r="W252" s="20" t="str">
        <f t="shared" si="15"/>
        <v/>
      </c>
      <c r="AA252" s="70"/>
      <c r="AB252" s="71"/>
      <c r="AC252" s="71"/>
      <c r="AD252" s="72" t="str">
        <f t="shared" ca="1" si="16"/>
        <v/>
      </c>
      <c r="AE252" s="72" t="str">
        <f t="shared" ca="1" si="17"/>
        <v/>
      </c>
      <c r="AF252" s="73"/>
      <c r="AG252" s="70"/>
      <c r="AH252" s="70"/>
      <c r="AI252" s="74" t="str">
        <f t="shared" si="18"/>
        <v/>
      </c>
      <c r="AJ252" s="75" t="str">
        <f t="shared" ca="1" si="19"/>
        <v/>
      </c>
      <c r="AK252" s="71"/>
      <c r="AL252" s="70"/>
      <c r="AM252" s="71"/>
      <c r="AN252" s="70"/>
    </row>
    <row r="253" spans="6:40" s="59" customFormat="1" x14ac:dyDescent="0.35">
      <c r="F253" s="65"/>
      <c r="J253" s="67"/>
      <c r="M253" s="68"/>
      <c r="W253" s="20" t="str">
        <f t="shared" si="15"/>
        <v/>
      </c>
      <c r="AA253" s="70"/>
      <c r="AB253" s="71"/>
      <c r="AC253" s="71"/>
      <c r="AD253" s="72" t="str">
        <f t="shared" ca="1" si="16"/>
        <v/>
      </c>
      <c r="AE253" s="72" t="str">
        <f t="shared" ca="1" si="17"/>
        <v/>
      </c>
      <c r="AF253" s="73"/>
      <c r="AG253" s="70"/>
      <c r="AH253" s="70"/>
      <c r="AI253" s="74" t="str">
        <f t="shared" si="18"/>
        <v/>
      </c>
      <c r="AJ253" s="75" t="str">
        <f t="shared" ca="1" si="19"/>
        <v/>
      </c>
      <c r="AK253" s="71"/>
      <c r="AL253" s="70"/>
      <c r="AM253" s="71"/>
      <c r="AN253" s="70"/>
    </row>
    <row r="254" spans="6:40" s="59" customFormat="1" x14ac:dyDescent="0.35">
      <c r="F254" s="65"/>
      <c r="J254" s="67"/>
      <c r="M254" s="68"/>
      <c r="W254" s="20" t="str">
        <f t="shared" si="15"/>
        <v/>
      </c>
      <c r="AA254" s="70"/>
      <c r="AB254" s="71"/>
      <c r="AC254" s="71"/>
      <c r="AD254" s="72" t="str">
        <f t="shared" ca="1" si="16"/>
        <v/>
      </c>
      <c r="AE254" s="72" t="str">
        <f t="shared" ca="1" si="17"/>
        <v/>
      </c>
      <c r="AF254" s="73"/>
      <c r="AG254" s="70"/>
      <c r="AH254" s="70"/>
      <c r="AI254" s="74" t="str">
        <f t="shared" si="18"/>
        <v/>
      </c>
      <c r="AJ254" s="75" t="str">
        <f t="shared" ca="1" si="19"/>
        <v/>
      </c>
      <c r="AK254" s="71"/>
      <c r="AL254" s="70"/>
      <c r="AM254" s="71"/>
      <c r="AN254" s="70"/>
    </row>
    <row r="255" spans="6:40" s="59" customFormat="1" x14ac:dyDescent="0.35">
      <c r="F255" s="65"/>
      <c r="J255" s="67"/>
      <c r="M255" s="68"/>
      <c r="W255" s="20" t="str">
        <f t="shared" si="15"/>
        <v/>
      </c>
      <c r="AA255" s="70"/>
      <c r="AB255" s="71"/>
      <c r="AC255" s="71"/>
      <c r="AD255" s="72" t="str">
        <f t="shared" ca="1" si="16"/>
        <v/>
      </c>
      <c r="AE255" s="72" t="str">
        <f t="shared" ca="1" si="17"/>
        <v/>
      </c>
      <c r="AF255" s="73"/>
      <c r="AG255" s="70"/>
      <c r="AH255" s="70"/>
      <c r="AI255" s="74" t="str">
        <f t="shared" si="18"/>
        <v/>
      </c>
      <c r="AJ255" s="75" t="str">
        <f t="shared" ca="1" si="19"/>
        <v/>
      </c>
      <c r="AK255" s="71"/>
      <c r="AL255" s="70"/>
      <c r="AM255" s="71"/>
      <c r="AN255" s="70"/>
    </row>
    <row r="256" spans="6:40" s="59" customFormat="1" x14ac:dyDescent="0.35">
      <c r="F256" s="65"/>
      <c r="J256" s="67"/>
      <c r="M256" s="68"/>
      <c r="W256" s="20" t="str">
        <f t="shared" si="15"/>
        <v/>
      </c>
      <c r="AA256" s="70"/>
      <c r="AB256" s="71"/>
      <c r="AC256" s="71"/>
      <c r="AD256" s="72" t="str">
        <f t="shared" ca="1" si="16"/>
        <v/>
      </c>
      <c r="AE256" s="72" t="str">
        <f t="shared" ca="1" si="17"/>
        <v/>
      </c>
      <c r="AF256" s="73"/>
      <c r="AG256" s="70"/>
      <c r="AH256" s="70"/>
      <c r="AI256" s="74" t="str">
        <f t="shared" si="18"/>
        <v/>
      </c>
      <c r="AJ256" s="75" t="str">
        <f t="shared" ca="1" si="19"/>
        <v/>
      </c>
      <c r="AK256" s="71"/>
      <c r="AL256" s="70"/>
      <c r="AM256" s="71"/>
      <c r="AN256" s="70"/>
    </row>
    <row r="257" spans="6:40" s="59" customFormat="1" x14ac:dyDescent="0.35">
      <c r="F257" s="65"/>
      <c r="J257" s="67"/>
      <c r="M257" s="68"/>
      <c r="W257" s="20" t="str">
        <f t="shared" si="15"/>
        <v/>
      </c>
      <c r="AA257" s="70"/>
      <c r="AB257" s="71"/>
      <c r="AC257" s="71"/>
      <c r="AD257" s="72" t="str">
        <f t="shared" ca="1" si="16"/>
        <v/>
      </c>
      <c r="AE257" s="72" t="str">
        <f t="shared" ca="1" si="17"/>
        <v/>
      </c>
      <c r="AF257" s="73"/>
      <c r="AG257" s="70"/>
      <c r="AH257" s="70"/>
      <c r="AI257" s="74" t="str">
        <f t="shared" si="18"/>
        <v/>
      </c>
      <c r="AJ257" s="75" t="str">
        <f t="shared" ca="1" si="19"/>
        <v/>
      </c>
      <c r="AK257" s="71"/>
      <c r="AL257" s="70"/>
      <c r="AM257" s="71"/>
      <c r="AN257" s="70"/>
    </row>
    <row r="258" spans="6:40" s="59" customFormat="1" x14ac:dyDescent="0.35">
      <c r="F258" s="65"/>
      <c r="J258" s="67"/>
      <c r="M258" s="68"/>
      <c r="W258" s="20" t="str">
        <f t="shared" si="15"/>
        <v/>
      </c>
      <c r="AA258" s="70"/>
      <c r="AB258" s="71"/>
      <c r="AC258" s="71"/>
      <c r="AD258" s="72" t="str">
        <f t="shared" ca="1" si="16"/>
        <v/>
      </c>
      <c r="AE258" s="72" t="str">
        <f t="shared" ca="1" si="17"/>
        <v/>
      </c>
      <c r="AF258" s="73"/>
      <c r="AG258" s="70"/>
      <c r="AH258" s="70"/>
      <c r="AI258" s="74" t="str">
        <f t="shared" si="18"/>
        <v/>
      </c>
      <c r="AJ258" s="75" t="str">
        <f t="shared" ca="1" si="19"/>
        <v/>
      </c>
      <c r="AK258" s="71"/>
      <c r="AL258" s="70"/>
      <c r="AM258" s="71"/>
      <c r="AN258" s="70"/>
    </row>
    <row r="259" spans="6:40" s="59" customFormat="1" x14ac:dyDescent="0.35">
      <c r="F259" s="65"/>
      <c r="J259" s="67"/>
      <c r="M259" s="68"/>
      <c r="W259" s="20" t="str">
        <f t="shared" si="15"/>
        <v/>
      </c>
      <c r="AA259" s="70"/>
      <c r="AB259" s="71"/>
      <c r="AC259" s="71"/>
      <c r="AD259" s="72" t="str">
        <f t="shared" ca="1" si="16"/>
        <v/>
      </c>
      <c r="AE259" s="72" t="str">
        <f t="shared" ca="1" si="17"/>
        <v/>
      </c>
      <c r="AF259" s="73"/>
      <c r="AG259" s="70"/>
      <c r="AH259" s="70"/>
      <c r="AI259" s="74" t="str">
        <f t="shared" si="18"/>
        <v/>
      </c>
      <c r="AJ259" s="75" t="str">
        <f t="shared" ca="1" si="19"/>
        <v/>
      </c>
      <c r="AK259" s="71"/>
      <c r="AL259" s="70"/>
      <c r="AM259" s="71"/>
      <c r="AN259" s="70"/>
    </row>
    <row r="260" spans="6:40" s="59" customFormat="1" x14ac:dyDescent="0.35">
      <c r="F260" s="65"/>
      <c r="J260" s="67"/>
      <c r="M260" s="68"/>
      <c r="W260" s="20" t="str">
        <f t="shared" si="15"/>
        <v/>
      </c>
      <c r="AA260" s="70"/>
      <c r="AB260" s="71"/>
      <c r="AC260" s="71"/>
      <c r="AD260" s="72" t="str">
        <f t="shared" ca="1" si="16"/>
        <v/>
      </c>
      <c r="AE260" s="72" t="str">
        <f t="shared" ca="1" si="17"/>
        <v/>
      </c>
      <c r="AF260" s="73"/>
      <c r="AG260" s="70"/>
      <c r="AH260" s="70"/>
      <c r="AI260" s="74" t="str">
        <f t="shared" si="18"/>
        <v/>
      </c>
      <c r="AJ260" s="75" t="str">
        <f t="shared" ca="1" si="19"/>
        <v/>
      </c>
      <c r="AK260" s="71"/>
      <c r="AL260" s="70"/>
      <c r="AM260" s="71"/>
      <c r="AN260" s="70"/>
    </row>
    <row r="261" spans="6:40" s="59" customFormat="1" x14ac:dyDescent="0.35">
      <c r="F261" s="65"/>
      <c r="J261" s="67"/>
      <c r="M261" s="68"/>
      <c r="W261" s="20" t="str">
        <f t="shared" si="15"/>
        <v/>
      </c>
      <c r="AA261" s="70"/>
      <c r="AB261" s="71"/>
      <c r="AC261" s="71"/>
      <c r="AD261" s="72" t="str">
        <f t="shared" ca="1" si="16"/>
        <v/>
      </c>
      <c r="AE261" s="72" t="str">
        <f t="shared" ca="1" si="17"/>
        <v/>
      </c>
      <c r="AF261" s="73"/>
      <c r="AG261" s="70"/>
      <c r="AH261" s="70"/>
      <c r="AI261" s="74" t="str">
        <f t="shared" si="18"/>
        <v/>
      </c>
      <c r="AJ261" s="75" t="str">
        <f t="shared" ca="1" si="19"/>
        <v/>
      </c>
      <c r="AK261" s="71"/>
      <c r="AL261" s="70"/>
      <c r="AM261" s="71"/>
      <c r="AN261" s="70"/>
    </row>
    <row r="262" spans="6:40" s="59" customFormat="1" x14ac:dyDescent="0.35">
      <c r="F262" s="65"/>
      <c r="J262" s="67"/>
      <c r="M262" s="68"/>
      <c r="W262" s="20" t="str">
        <f t="shared" si="15"/>
        <v/>
      </c>
      <c r="AA262" s="70"/>
      <c r="AB262" s="71"/>
      <c r="AC262" s="71"/>
      <c r="AD262" s="72" t="str">
        <f t="shared" ca="1" si="16"/>
        <v/>
      </c>
      <c r="AE262" s="72" t="str">
        <f t="shared" ca="1" si="17"/>
        <v/>
      </c>
      <c r="AF262" s="73"/>
      <c r="AG262" s="70"/>
      <c r="AH262" s="70"/>
      <c r="AI262" s="74" t="str">
        <f t="shared" si="18"/>
        <v/>
      </c>
      <c r="AJ262" s="75" t="str">
        <f t="shared" ca="1" si="19"/>
        <v/>
      </c>
      <c r="AK262" s="71"/>
      <c r="AL262" s="70"/>
      <c r="AM262" s="71"/>
      <c r="AN262" s="70"/>
    </row>
    <row r="263" spans="6:40" s="59" customFormat="1" x14ac:dyDescent="0.35">
      <c r="F263" s="65"/>
      <c r="J263" s="67"/>
      <c r="M263" s="68"/>
      <c r="W263" s="20" t="str">
        <f t="shared" ref="W263:W326" si="20">IFERROR(VLOOKUP($V263,$AU$5:$AV$13,2,0),"")</f>
        <v/>
      </c>
      <c r="AA263" s="70"/>
      <c r="AB263" s="71"/>
      <c r="AC263" s="71"/>
      <c r="AD263" s="72" t="str">
        <f t="shared" ref="AD263:AD326" ca="1" si="21">IF($U263="Closed","",(IF($AC263=0,"",(IF(OR($AI263="",$AI263="Enter the date"),NETWORKDAYS($AC263,TODAY()),NETWORKDAYS($AC263,$AI263))))))</f>
        <v/>
      </c>
      <c r="AE263" s="72" t="str">
        <f t="shared" ref="AE263:AE326" ca="1" si="22">IF(AND($U263="Open",OR($AI263="",$AI263="Enter the date")),$AD263,IFERROR($AD263+$AJ263,""))</f>
        <v/>
      </c>
      <c r="AF263" s="73"/>
      <c r="AG263" s="70"/>
      <c r="AH263" s="70"/>
      <c r="AI263" s="74" t="str">
        <f t="shared" ref="AI263:AI326" si="23">IF($AC263="","",(IF($AH263=0,IF($AG263=0,IF($AF263=0,"Enter the date",$AF263),$AG263),$AH263)))</f>
        <v/>
      </c>
      <c r="AJ263" s="75" t="str">
        <f t="shared" ref="AJ263:AJ326" ca="1" si="24">IF($U263="Closed","",IF(AI263="","",(IF($AI263="Enter The date","",(NETWORKDAYS($AI263,TODAY()))-1))))</f>
        <v/>
      </c>
      <c r="AK263" s="71"/>
      <c r="AL263" s="70"/>
      <c r="AM263" s="71"/>
      <c r="AN263" s="70"/>
    </row>
    <row r="264" spans="6:40" s="59" customFormat="1" x14ac:dyDescent="0.35">
      <c r="F264" s="65"/>
      <c r="J264" s="67"/>
      <c r="M264" s="68"/>
      <c r="W264" s="20" t="str">
        <f t="shared" si="20"/>
        <v/>
      </c>
      <c r="AA264" s="70"/>
      <c r="AB264" s="71"/>
      <c r="AC264" s="71"/>
      <c r="AD264" s="72" t="str">
        <f t="shared" ca="1" si="21"/>
        <v/>
      </c>
      <c r="AE264" s="72" t="str">
        <f t="shared" ca="1" si="22"/>
        <v/>
      </c>
      <c r="AF264" s="73"/>
      <c r="AG264" s="70"/>
      <c r="AH264" s="70"/>
      <c r="AI264" s="74" t="str">
        <f t="shared" si="23"/>
        <v/>
      </c>
      <c r="AJ264" s="75" t="str">
        <f t="shared" ca="1" si="24"/>
        <v/>
      </c>
      <c r="AK264" s="71"/>
      <c r="AL264" s="70"/>
      <c r="AM264" s="71"/>
      <c r="AN264" s="70"/>
    </row>
    <row r="265" spans="6:40" s="59" customFormat="1" x14ac:dyDescent="0.35">
      <c r="F265" s="65"/>
      <c r="J265" s="67"/>
      <c r="M265" s="68"/>
      <c r="W265" s="20" t="str">
        <f t="shared" si="20"/>
        <v/>
      </c>
      <c r="AA265" s="70"/>
      <c r="AB265" s="71"/>
      <c r="AC265" s="71"/>
      <c r="AD265" s="72" t="str">
        <f t="shared" ca="1" si="21"/>
        <v/>
      </c>
      <c r="AE265" s="72" t="str">
        <f t="shared" ca="1" si="22"/>
        <v/>
      </c>
      <c r="AF265" s="73"/>
      <c r="AG265" s="70"/>
      <c r="AH265" s="70"/>
      <c r="AI265" s="74" t="str">
        <f t="shared" si="23"/>
        <v/>
      </c>
      <c r="AJ265" s="75" t="str">
        <f t="shared" ca="1" si="24"/>
        <v/>
      </c>
      <c r="AK265" s="71"/>
      <c r="AL265" s="70"/>
      <c r="AM265" s="71"/>
      <c r="AN265" s="70"/>
    </row>
    <row r="266" spans="6:40" s="59" customFormat="1" x14ac:dyDescent="0.35">
      <c r="F266" s="65"/>
      <c r="J266" s="67"/>
      <c r="M266" s="68"/>
      <c r="W266" s="20" t="str">
        <f t="shared" si="20"/>
        <v/>
      </c>
      <c r="AA266" s="70"/>
      <c r="AB266" s="71"/>
      <c r="AC266" s="71"/>
      <c r="AD266" s="72" t="str">
        <f t="shared" ca="1" si="21"/>
        <v/>
      </c>
      <c r="AE266" s="72" t="str">
        <f t="shared" ca="1" si="22"/>
        <v/>
      </c>
      <c r="AF266" s="73"/>
      <c r="AG266" s="70"/>
      <c r="AH266" s="70"/>
      <c r="AI266" s="74" t="str">
        <f t="shared" si="23"/>
        <v/>
      </c>
      <c r="AJ266" s="75" t="str">
        <f t="shared" ca="1" si="24"/>
        <v/>
      </c>
      <c r="AK266" s="71"/>
      <c r="AL266" s="70"/>
      <c r="AM266" s="71"/>
      <c r="AN266" s="70"/>
    </row>
    <row r="267" spans="6:40" s="59" customFormat="1" x14ac:dyDescent="0.35">
      <c r="F267" s="65"/>
      <c r="J267" s="67"/>
      <c r="M267" s="68"/>
      <c r="W267" s="20" t="str">
        <f t="shared" si="20"/>
        <v/>
      </c>
      <c r="AA267" s="70"/>
      <c r="AB267" s="71"/>
      <c r="AC267" s="71"/>
      <c r="AD267" s="72" t="str">
        <f t="shared" ca="1" si="21"/>
        <v/>
      </c>
      <c r="AE267" s="72" t="str">
        <f t="shared" ca="1" si="22"/>
        <v/>
      </c>
      <c r="AF267" s="73"/>
      <c r="AG267" s="70"/>
      <c r="AH267" s="70"/>
      <c r="AI267" s="74" t="str">
        <f t="shared" si="23"/>
        <v/>
      </c>
      <c r="AJ267" s="75" t="str">
        <f t="shared" ca="1" si="24"/>
        <v/>
      </c>
      <c r="AK267" s="71"/>
      <c r="AL267" s="70"/>
      <c r="AM267" s="71"/>
      <c r="AN267" s="70"/>
    </row>
    <row r="268" spans="6:40" s="59" customFormat="1" x14ac:dyDescent="0.35">
      <c r="F268" s="65"/>
      <c r="J268" s="67"/>
      <c r="M268" s="68"/>
      <c r="W268" s="20" t="str">
        <f t="shared" si="20"/>
        <v/>
      </c>
      <c r="AA268" s="70"/>
      <c r="AB268" s="71"/>
      <c r="AC268" s="71"/>
      <c r="AD268" s="72" t="str">
        <f t="shared" ca="1" si="21"/>
        <v/>
      </c>
      <c r="AE268" s="72" t="str">
        <f t="shared" ca="1" si="22"/>
        <v/>
      </c>
      <c r="AF268" s="73"/>
      <c r="AG268" s="70"/>
      <c r="AH268" s="70"/>
      <c r="AI268" s="74" t="str">
        <f t="shared" si="23"/>
        <v/>
      </c>
      <c r="AJ268" s="75" t="str">
        <f t="shared" ca="1" si="24"/>
        <v/>
      </c>
      <c r="AK268" s="71"/>
      <c r="AL268" s="70"/>
      <c r="AM268" s="71"/>
      <c r="AN268" s="70"/>
    </row>
    <row r="269" spans="6:40" s="59" customFormat="1" x14ac:dyDescent="0.35">
      <c r="F269" s="65"/>
      <c r="J269" s="67"/>
      <c r="M269" s="68"/>
      <c r="W269" s="20" t="str">
        <f t="shared" si="20"/>
        <v/>
      </c>
      <c r="AA269" s="70"/>
      <c r="AB269" s="71"/>
      <c r="AC269" s="71"/>
      <c r="AD269" s="72" t="str">
        <f t="shared" ca="1" si="21"/>
        <v/>
      </c>
      <c r="AE269" s="72" t="str">
        <f t="shared" ca="1" si="22"/>
        <v/>
      </c>
      <c r="AF269" s="73"/>
      <c r="AG269" s="70"/>
      <c r="AH269" s="70"/>
      <c r="AI269" s="74" t="str">
        <f t="shared" si="23"/>
        <v/>
      </c>
      <c r="AJ269" s="75" t="str">
        <f t="shared" ca="1" si="24"/>
        <v/>
      </c>
      <c r="AK269" s="71"/>
      <c r="AL269" s="70"/>
      <c r="AM269" s="71"/>
      <c r="AN269" s="70"/>
    </row>
    <row r="270" spans="6:40" s="59" customFormat="1" x14ac:dyDescent="0.35">
      <c r="F270" s="65"/>
      <c r="J270" s="67"/>
      <c r="M270" s="68"/>
      <c r="W270" s="20" t="str">
        <f t="shared" si="20"/>
        <v/>
      </c>
      <c r="AA270" s="70"/>
      <c r="AB270" s="71"/>
      <c r="AC270" s="71"/>
      <c r="AD270" s="72" t="str">
        <f t="shared" ca="1" si="21"/>
        <v/>
      </c>
      <c r="AE270" s="72" t="str">
        <f t="shared" ca="1" si="22"/>
        <v/>
      </c>
      <c r="AF270" s="73"/>
      <c r="AG270" s="70"/>
      <c r="AH270" s="70"/>
      <c r="AI270" s="74" t="str">
        <f t="shared" si="23"/>
        <v/>
      </c>
      <c r="AJ270" s="75" t="str">
        <f t="shared" ca="1" si="24"/>
        <v/>
      </c>
      <c r="AK270" s="71"/>
      <c r="AL270" s="70"/>
      <c r="AM270" s="71"/>
      <c r="AN270" s="70"/>
    </row>
    <row r="271" spans="6:40" s="59" customFormat="1" x14ac:dyDescent="0.35">
      <c r="F271" s="65"/>
      <c r="J271" s="67"/>
      <c r="M271" s="68"/>
      <c r="W271" s="20" t="str">
        <f t="shared" si="20"/>
        <v/>
      </c>
      <c r="AA271" s="70"/>
      <c r="AB271" s="71"/>
      <c r="AC271" s="71"/>
      <c r="AD271" s="72" t="str">
        <f t="shared" ca="1" si="21"/>
        <v/>
      </c>
      <c r="AE271" s="72" t="str">
        <f t="shared" ca="1" si="22"/>
        <v/>
      </c>
      <c r="AF271" s="73"/>
      <c r="AG271" s="70"/>
      <c r="AH271" s="70"/>
      <c r="AI271" s="74" t="str">
        <f t="shared" si="23"/>
        <v/>
      </c>
      <c r="AJ271" s="75" t="str">
        <f t="shared" ca="1" si="24"/>
        <v/>
      </c>
      <c r="AK271" s="71"/>
      <c r="AL271" s="70"/>
      <c r="AM271" s="71"/>
      <c r="AN271" s="70"/>
    </row>
    <row r="272" spans="6:40" s="59" customFormat="1" x14ac:dyDescent="0.35">
      <c r="F272" s="65"/>
      <c r="J272" s="67"/>
      <c r="M272" s="68"/>
      <c r="W272" s="20" t="str">
        <f t="shared" si="20"/>
        <v/>
      </c>
      <c r="AA272" s="70"/>
      <c r="AB272" s="71"/>
      <c r="AC272" s="71"/>
      <c r="AD272" s="72" t="str">
        <f t="shared" ca="1" si="21"/>
        <v/>
      </c>
      <c r="AE272" s="72" t="str">
        <f t="shared" ca="1" si="22"/>
        <v/>
      </c>
      <c r="AF272" s="73"/>
      <c r="AG272" s="70"/>
      <c r="AH272" s="70"/>
      <c r="AI272" s="74" t="str">
        <f t="shared" si="23"/>
        <v/>
      </c>
      <c r="AJ272" s="75" t="str">
        <f t="shared" ca="1" si="24"/>
        <v/>
      </c>
      <c r="AK272" s="71"/>
      <c r="AL272" s="70"/>
      <c r="AM272" s="71"/>
      <c r="AN272" s="70"/>
    </row>
    <row r="273" spans="6:40" s="59" customFormat="1" x14ac:dyDescent="0.35">
      <c r="F273" s="65"/>
      <c r="J273" s="67"/>
      <c r="M273" s="68"/>
      <c r="W273" s="20" t="str">
        <f t="shared" si="20"/>
        <v/>
      </c>
      <c r="AA273" s="70"/>
      <c r="AB273" s="71"/>
      <c r="AC273" s="71"/>
      <c r="AD273" s="72" t="str">
        <f t="shared" ca="1" si="21"/>
        <v/>
      </c>
      <c r="AE273" s="72" t="str">
        <f t="shared" ca="1" si="22"/>
        <v/>
      </c>
      <c r="AF273" s="73"/>
      <c r="AG273" s="70"/>
      <c r="AH273" s="70"/>
      <c r="AI273" s="74" t="str">
        <f t="shared" si="23"/>
        <v/>
      </c>
      <c r="AJ273" s="75" t="str">
        <f t="shared" ca="1" si="24"/>
        <v/>
      </c>
      <c r="AK273" s="71"/>
      <c r="AL273" s="70"/>
      <c r="AM273" s="71"/>
      <c r="AN273" s="70"/>
    </row>
    <row r="274" spans="6:40" s="59" customFormat="1" x14ac:dyDescent="0.35">
      <c r="F274" s="65"/>
      <c r="J274" s="67"/>
      <c r="M274" s="68"/>
      <c r="W274" s="20" t="str">
        <f t="shared" si="20"/>
        <v/>
      </c>
      <c r="AA274" s="70"/>
      <c r="AB274" s="71"/>
      <c r="AC274" s="71"/>
      <c r="AD274" s="72" t="str">
        <f t="shared" ca="1" si="21"/>
        <v/>
      </c>
      <c r="AE274" s="72" t="str">
        <f t="shared" ca="1" si="22"/>
        <v/>
      </c>
      <c r="AF274" s="73"/>
      <c r="AG274" s="70"/>
      <c r="AH274" s="70"/>
      <c r="AI274" s="74" t="str">
        <f t="shared" si="23"/>
        <v/>
      </c>
      <c r="AJ274" s="75" t="str">
        <f t="shared" ca="1" si="24"/>
        <v/>
      </c>
      <c r="AK274" s="71"/>
      <c r="AL274" s="70"/>
      <c r="AM274" s="71"/>
      <c r="AN274" s="70"/>
    </row>
    <row r="275" spans="6:40" s="59" customFormat="1" x14ac:dyDescent="0.35">
      <c r="F275" s="65"/>
      <c r="J275" s="67"/>
      <c r="M275" s="68"/>
      <c r="W275" s="20" t="str">
        <f t="shared" si="20"/>
        <v/>
      </c>
      <c r="AA275" s="70"/>
      <c r="AB275" s="71"/>
      <c r="AC275" s="71"/>
      <c r="AD275" s="72" t="str">
        <f t="shared" ca="1" si="21"/>
        <v/>
      </c>
      <c r="AE275" s="72" t="str">
        <f t="shared" ca="1" si="22"/>
        <v/>
      </c>
      <c r="AF275" s="73"/>
      <c r="AG275" s="70"/>
      <c r="AH275" s="70"/>
      <c r="AI275" s="74" t="str">
        <f t="shared" si="23"/>
        <v/>
      </c>
      <c r="AJ275" s="75" t="str">
        <f t="shared" ca="1" si="24"/>
        <v/>
      </c>
      <c r="AK275" s="71"/>
      <c r="AL275" s="70"/>
      <c r="AM275" s="71"/>
      <c r="AN275" s="70"/>
    </row>
    <row r="276" spans="6:40" s="59" customFormat="1" x14ac:dyDescent="0.35">
      <c r="F276" s="65"/>
      <c r="J276" s="67"/>
      <c r="M276" s="68"/>
      <c r="W276" s="20" t="str">
        <f t="shared" si="20"/>
        <v/>
      </c>
      <c r="AA276" s="70"/>
      <c r="AB276" s="71"/>
      <c r="AC276" s="71"/>
      <c r="AD276" s="72" t="str">
        <f t="shared" ca="1" si="21"/>
        <v/>
      </c>
      <c r="AE276" s="72" t="str">
        <f t="shared" ca="1" si="22"/>
        <v/>
      </c>
      <c r="AF276" s="73"/>
      <c r="AG276" s="70"/>
      <c r="AH276" s="70"/>
      <c r="AI276" s="74" t="str">
        <f t="shared" si="23"/>
        <v/>
      </c>
      <c r="AJ276" s="75" t="str">
        <f t="shared" ca="1" si="24"/>
        <v/>
      </c>
      <c r="AK276" s="71"/>
      <c r="AL276" s="70"/>
      <c r="AM276" s="71"/>
      <c r="AN276" s="70"/>
    </row>
    <row r="277" spans="6:40" s="59" customFormat="1" x14ac:dyDescent="0.35">
      <c r="F277" s="65"/>
      <c r="J277" s="67"/>
      <c r="M277" s="68"/>
      <c r="W277" s="20" t="str">
        <f t="shared" si="20"/>
        <v/>
      </c>
      <c r="AA277" s="70"/>
      <c r="AB277" s="71"/>
      <c r="AC277" s="71"/>
      <c r="AD277" s="72" t="str">
        <f t="shared" ca="1" si="21"/>
        <v/>
      </c>
      <c r="AE277" s="72" t="str">
        <f t="shared" ca="1" si="22"/>
        <v/>
      </c>
      <c r="AF277" s="73"/>
      <c r="AG277" s="70"/>
      <c r="AH277" s="70"/>
      <c r="AI277" s="74" t="str">
        <f t="shared" si="23"/>
        <v/>
      </c>
      <c r="AJ277" s="75" t="str">
        <f t="shared" ca="1" si="24"/>
        <v/>
      </c>
      <c r="AK277" s="71"/>
      <c r="AL277" s="70"/>
      <c r="AM277" s="71"/>
      <c r="AN277" s="70"/>
    </row>
    <row r="278" spans="6:40" s="59" customFormat="1" x14ac:dyDescent="0.35">
      <c r="F278" s="65"/>
      <c r="J278" s="67"/>
      <c r="M278" s="68"/>
      <c r="W278" s="20" t="str">
        <f t="shared" si="20"/>
        <v/>
      </c>
      <c r="AA278" s="70"/>
      <c r="AB278" s="71"/>
      <c r="AC278" s="71"/>
      <c r="AD278" s="72" t="str">
        <f t="shared" ca="1" si="21"/>
        <v/>
      </c>
      <c r="AE278" s="72" t="str">
        <f t="shared" ca="1" si="22"/>
        <v/>
      </c>
      <c r="AF278" s="73"/>
      <c r="AG278" s="70"/>
      <c r="AH278" s="70"/>
      <c r="AI278" s="74" t="str">
        <f t="shared" si="23"/>
        <v/>
      </c>
      <c r="AJ278" s="75" t="str">
        <f t="shared" ca="1" si="24"/>
        <v/>
      </c>
      <c r="AK278" s="71"/>
      <c r="AL278" s="70"/>
      <c r="AM278" s="71"/>
      <c r="AN278" s="70"/>
    </row>
    <row r="279" spans="6:40" s="59" customFormat="1" x14ac:dyDescent="0.35">
      <c r="F279" s="65"/>
      <c r="J279" s="67"/>
      <c r="M279" s="68"/>
      <c r="W279" s="20" t="str">
        <f t="shared" si="20"/>
        <v/>
      </c>
      <c r="AA279" s="70"/>
      <c r="AB279" s="71"/>
      <c r="AC279" s="71"/>
      <c r="AD279" s="72" t="str">
        <f t="shared" ca="1" si="21"/>
        <v/>
      </c>
      <c r="AE279" s="72" t="str">
        <f t="shared" ca="1" si="22"/>
        <v/>
      </c>
      <c r="AF279" s="73"/>
      <c r="AG279" s="70"/>
      <c r="AH279" s="70"/>
      <c r="AI279" s="74" t="str">
        <f t="shared" si="23"/>
        <v/>
      </c>
      <c r="AJ279" s="75" t="str">
        <f t="shared" ca="1" si="24"/>
        <v/>
      </c>
      <c r="AK279" s="71"/>
      <c r="AL279" s="70"/>
      <c r="AM279" s="71"/>
      <c r="AN279" s="70"/>
    </row>
    <row r="280" spans="6:40" s="59" customFormat="1" x14ac:dyDescent="0.35">
      <c r="F280" s="65"/>
      <c r="J280" s="67"/>
      <c r="M280" s="68"/>
      <c r="W280" s="20" t="str">
        <f t="shared" si="20"/>
        <v/>
      </c>
      <c r="AA280" s="70"/>
      <c r="AB280" s="71"/>
      <c r="AC280" s="71"/>
      <c r="AD280" s="72" t="str">
        <f t="shared" ca="1" si="21"/>
        <v/>
      </c>
      <c r="AE280" s="72" t="str">
        <f t="shared" ca="1" si="22"/>
        <v/>
      </c>
      <c r="AF280" s="73"/>
      <c r="AG280" s="70"/>
      <c r="AH280" s="70"/>
      <c r="AI280" s="74" t="str">
        <f t="shared" si="23"/>
        <v/>
      </c>
      <c r="AJ280" s="75" t="str">
        <f t="shared" ca="1" si="24"/>
        <v/>
      </c>
      <c r="AK280" s="71"/>
      <c r="AL280" s="70"/>
      <c r="AM280" s="71"/>
      <c r="AN280" s="70"/>
    </row>
    <row r="281" spans="6:40" s="59" customFormat="1" x14ac:dyDescent="0.35">
      <c r="F281" s="65"/>
      <c r="J281" s="67"/>
      <c r="M281" s="68"/>
      <c r="W281" s="20" t="str">
        <f t="shared" si="20"/>
        <v/>
      </c>
      <c r="AA281" s="70"/>
      <c r="AB281" s="71"/>
      <c r="AC281" s="71"/>
      <c r="AD281" s="72" t="str">
        <f t="shared" ca="1" si="21"/>
        <v/>
      </c>
      <c r="AE281" s="72" t="str">
        <f t="shared" ca="1" si="22"/>
        <v/>
      </c>
      <c r="AF281" s="73"/>
      <c r="AG281" s="70"/>
      <c r="AH281" s="70"/>
      <c r="AI281" s="74" t="str">
        <f t="shared" si="23"/>
        <v/>
      </c>
      <c r="AJ281" s="75" t="str">
        <f t="shared" ca="1" si="24"/>
        <v/>
      </c>
      <c r="AK281" s="71"/>
      <c r="AL281" s="70"/>
      <c r="AM281" s="71"/>
      <c r="AN281" s="70"/>
    </row>
    <row r="282" spans="6:40" s="59" customFormat="1" x14ac:dyDescent="0.35">
      <c r="F282" s="65"/>
      <c r="J282" s="67"/>
      <c r="M282" s="68"/>
      <c r="W282" s="20" t="str">
        <f t="shared" si="20"/>
        <v/>
      </c>
      <c r="AA282" s="70"/>
      <c r="AB282" s="71"/>
      <c r="AC282" s="71"/>
      <c r="AD282" s="72" t="str">
        <f t="shared" ca="1" si="21"/>
        <v/>
      </c>
      <c r="AE282" s="72" t="str">
        <f t="shared" ca="1" si="22"/>
        <v/>
      </c>
      <c r="AF282" s="73"/>
      <c r="AG282" s="70"/>
      <c r="AH282" s="70"/>
      <c r="AI282" s="74" t="str">
        <f t="shared" si="23"/>
        <v/>
      </c>
      <c r="AJ282" s="75" t="str">
        <f t="shared" ca="1" si="24"/>
        <v/>
      </c>
      <c r="AK282" s="71"/>
      <c r="AL282" s="70"/>
      <c r="AM282" s="71"/>
      <c r="AN282" s="70"/>
    </row>
    <row r="283" spans="6:40" s="59" customFormat="1" x14ac:dyDescent="0.35">
      <c r="F283" s="65"/>
      <c r="J283" s="67"/>
      <c r="M283" s="68"/>
      <c r="W283" s="20" t="str">
        <f t="shared" si="20"/>
        <v/>
      </c>
      <c r="AA283" s="70"/>
      <c r="AB283" s="71"/>
      <c r="AC283" s="71"/>
      <c r="AD283" s="72" t="str">
        <f t="shared" ca="1" si="21"/>
        <v/>
      </c>
      <c r="AE283" s="72" t="str">
        <f t="shared" ca="1" si="22"/>
        <v/>
      </c>
      <c r="AF283" s="73"/>
      <c r="AG283" s="70"/>
      <c r="AH283" s="70"/>
      <c r="AI283" s="74" t="str">
        <f t="shared" si="23"/>
        <v/>
      </c>
      <c r="AJ283" s="75" t="str">
        <f t="shared" ca="1" si="24"/>
        <v/>
      </c>
      <c r="AK283" s="71"/>
      <c r="AL283" s="70"/>
      <c r="AM283" s="71"/>
      <c r="AN283" s="70"/>
    </row>
    <row r="284" spans="6:40" s="59" customFormat="1" x14ac:dyDescent="0.35">
      <c r="F284" s="65"/>
      <c r="J284" s="67"/>
      <c r="M284" s="68"/>
      <c r="W284" s="20" t="str">
        <f t="shared" si="20"/>
        <v/>
      </c>
      <c r="AA284" s="70"/>
      <c r="AB284" s="71"/>
      <c r="AC284" s="71"/>
      <c r="AD284" s="72" t="str">
        <f t="shared" ca="1" si="21"/>
        <v/>
      </c>
      <c r="AE284" s="72" t="str">
        <f t="shared" ca="1" si="22"/>
        <v/>
      </c>
      <c r="AF284" s="73"/>
      <c r="AG284" s="70"/>
      <c r="AH284" s="70"/>
      <c r="AI284" s="74" t="str">
        <f t="shared" si="23"/>
        <v/>
      </c>
      <c r="AJ284" s="75" t="str">
        <f t="shared" ca="1" si="24"/>
        <v/>
      </c>
      <c r="AK284" s="71"/>
      <c r="AL284" s="70"/>
      <c r="AM284" s="71"/>
      <c r="AN284" s="70"/>
    </row>
    <row r="285" spans="6:40" s="59" customFormat="1" x14ac:dyDescent="0.35">
      <c r="F285" s="65"/>
      <c r="J285" s="67"/>
      <c r="M285" s="68"/>
      <c r="W285" s="20" t="str">
        <f t="shared" si="20"/>
        <v/>
      </c>
      <c r="AA285" s="70"/>
      <c r="AB285" s="71"/>
      <c r="AC285" s="71"/>
      <c r="AD285" s="72" t="str">
        <f t="shared" ca="1" si="21"/>
        <v/>
      </c>
      <c r="AE285" s="72" t="str">
        <f t="shared" ca="1" si="22"/>
        <v/>
      </c>
      <c r="AF285" s="73"/>
      <c r="AG285" s="70"/>
      <c r="AH285" s="70"/>
      <c r="AI285" s="74" t="str">
        <f t="shared" si="23"/>
        <v/>
      </c>
      <c r="AJ285" s="75" t="str">
        <f t="shared" ca="1" si="24"/>
        <v/>
      </c>
      <c r="AK285" s="71"/>
      <c r="AL285" s="70"/>
      <c r="AM285" s="71"/>
      <c r="AN285" s="70"/>
    </row>
    <row r="286" spans="6:40" s="59" customFormat="1" x14ac:dyDescent="0.35">
      <c r="F286" s="65"/>
      <c r="J286" s="67"/>
      <c r="M286" s="68"/>
      <c r="W286" s="20" t="str">
        <f t="shared" si="20"/>
        <v/>
      </c>
      <c r="AA286" s="70"/>
      <c r="AB286" s="71"/>
      <c r="AC286" s="71"/>
      <c r="AD286" s="72" t="str">
        <f t="shared" ca="1" si="21"/>
        <v/>
      </c>
      <c r="AE286" s="72" t="str">
        <f t="shared" ca="1" si="22"/>
        <v/>
      </c>
      <c r="AF286" s="73"/>
      <c r="AG286" s="70"/>
      <c r="AH286" s="70"/>
      <c r="AI286" s="74" t="str">
        <f t="shared" si="23"/>
        <v/>
      </c>
      <c r="AJ286" s="75" t="str">
        <f t="shared" ca="1" si="24"/>
        <v/>
      </c>
      <c r="AK286" s="71"/>
      <c r="AL286" s="70"/>
      <c r="AM286" s="71"/>
      <c r="AN286" s="70"/>
    </row>
    <row r="287" spans="6:40" s="59" customFormat="1" x14ac:dyDescent="0.35">
      <c r="F287" s="65"/>
      <c r="J287" s="67"/>
      <c r="M287" s="68"/>
      <c r="W287" s="20" t="str">
        <f t="shared" si="20"/>
        <v/>
      </c>
      <c r="AA287" s="70"/>
      <c r="AB287" s="71"/>
      <c r="AC287" s="71"/>
      <c r="AD287" s="72" t="str">
        <f t="shared" ca="1" si="21"/>
        <v/>
      </c>
      <c r="AE287" s="72" t="str">
        <f t="shared" ca="1" si="22"/>
        <v/>
      </c>
      <c r="AF287" s="73"/>
      <c r="AG287" s="70"/>
      <c r="AH287" s="70"/>
      <c r="AI287" s="74" t="str">
        <f t="shared" si="23"/>
        <v/>
      </c>
      <c r="AJ287" s="75" t="str">
        <f t="shared" ca="1" si="24"/>
        <v/>
      </c>
      <c r="AK287" s="71"/>
      <c r="AL287" s="70"/>
      <c r="AM287" s="71"/>
      <c r="AN287" s="70"/>
    </row>
    <row r="288" spans="6:40" s="59" customFormat="1" x14ac:dyDescent="0.35">
      <c r="F288" s="65"/>
      <c r="J288" s="67"/>
      <c r="M288" s="68"/>
      <c r="W288" s="20" t="str">
        <f t="shared" si="20"/>
        <v/>
      </c>
      <c r="AA288" s="70"/>
      <c r="AB288" s="71"/>
      <c r="AC288" s="71"/>
      <c r="AD288" s="72" t="str">
        <f t="shared" ca="1" si="21"/>
        <v/>
      </c>
      <c r="AE288" s="72" t="str">
        <f t="shared" ca="1" si="22"/>
        <v/>
      </c>
      <c r="AF288" s="73"/>
      <c r="AG288" s="70"/>
      <c r="AH288" s="70"/>
      <c r="AI288" s="74" t="str">
        <f t="shared" si="23"/>
        <v/>
      </c>
      <c r="AJ288" s="75" t="str">
        <f t="shared" ca="1" si="24"/>
        <v/>
      </c>
      <c r="AK288" s="71"/>
      <c r="AL288" s="70"/>
      <c r="AM288" s="71"/>
      <c r="AN288" s="70"/>
    </row>
    <row r="289" spans="6:40" s="59" customFormat="1" x14ac:dyDescent="0.35">
      <c r="F289" s="65"/>
      <c r="J289" s="67"/>
      <c r="M289" s="68"/>
      <c r="W289" s="20" t="str">
        <f t="shared" si="20"/>
        <v/>
      </c>
      <c r="AA289" s="70"/>
      <c r="AB289" s="71"/>
      <c r="AC289" s="71"/>
      <c r="AD289" s="72" t="str">
        <f t="shared" ca="1" si="21"/>
        <v/>
      </c>
      <c r="AE289" s="72" t="str">
        <f t="shared" ca="1" si="22"/>
        <v/>
      </c>
      <c r="AF289" s="73"/>
      <c r="AG289" s="70"/>
      <c r="AH289" s="70"/>
      <c r="AI289" s="74" t="str">
        <f t="shared" si="23"/>
        <v/>
      </c>
      <c r="AJ289" s="75" t="str">
        <f t="shared" ca="1" si="24"/>
        <v/>
      </c>
      <c r="AK289" s="71"/>
      <c r="AL289" s="70"/>
      <c r="AM289" s="71"/>
      <c r="AN289" s="70"/>
    </row>
    <row r="290" spans="6:40" s="59" customFormat="1" x14ac:dyDescent="0.35">
      <c r="F290" s="65"/>
      <c r="J290" s="67"/>
      <c r="M290" s="68"/>
      <c r="W290" s="20" t="str">
        <f t="shared" si="20"/>
        <v/>
      </c>
      <c r="AA290" s="70"/>
      <c r="AB290" s="71"/>
      <c r="AC290" s="71"/>
      <c r="AD290" s="72" t="str">
        <f t="shared" ca="1" si="21"/>
        <v/>
      </c>
      <c r="AE290" s="72" t="str">
        <f t="shared" ca="1" si="22"/>
        <v/>
      </c>
      <c r="AF290" s="73"/>
      <c r="AG290" s="70"/>
      <c r="AH290" s="70"/>
      <c r="AI290" s="74" t="str">
        <f t="shared" si="23"/>
        <v/>
      </c>
      <c r="AJ290" s="75" t="str">
        <f t="shared" ca="1" si="24"/>
        <v/>
      </c>
      <c r="AK290" s="71"/>
      <c r="AL290" s="70"/>
      <c r="AM290" s="71"/>
      <c r="AN290" s="70"/>
    </row>
    <row r="291" spans="6:40" s="59" customFormat="1" x14ac:dyDescent="0.35">
      <c r="F291" s="65"/>
      <c r="J291" s="67"/>
      <c r="M291" s="68"/>
      <c r="W291" s="20" t="str">
        <f t="shared" si="20"/>
        <v/>
      </c>
      <c r="AA291" s="70"/>
      <c r="AB291" s="71"/>
      <c r="AC291" s="71"/>
      <c r="AD291" s="72" t="str">
        <f t="shared" ca="1" si="21"/>
        <v/>
      </c>
      <c r="AE291" s="72" t="str">
        <f t="shared" ca="1" si="22"/>
        <v/>
      </c>
      <c r="AF291" s="73"/>
      <c r="AG291" s="70"/>
      <c r="AH291" s="70"/>
      <c r="AI291" s="74" t="str">
        <f t="shared" si="23"/>
        <v/>
      </c>
      <c r="AJ291" s="75" t="str">
        <f t="shared" ca="1" si="24"/>
        <v/>
      </c>
      <c r="AK291" s="71"/>
      <c r="AL291" s="70"/>
      <c r="AM291" s="71"/>
      <c r="AN291" s="70"/>
    </row>
    <row r="292" spans="6:40" s="59" customFormat="1" x14ac:dyDescent="0.35">
      <c r="F292" s="65"/>
      <c r="J292" s="67"/>
      <c r="M292" s="68"/>
      <c r="W292" s="20" t="str">
        <f t="shared" si="20"/>
        <v/>
      </c>
      <c r="AA292" s="70"/>
      <c r="AB292" s="71"/>
      <c r="AC292" s="71"/>
      <c r="AD292" s="72" t="str">
        <f t="shared" ca="1" si="21"/>
        <v/>
      </c>
      <c r="AE292" s="72" t="str">
        <f t="shared" ca="1" si="22"/>
        <v/>
      </c>
      <c r="AF292" s="73"/>
      <c r="AG292" s="70"/>
      <c r="AH292" s="70"/>
      <c r="AI292" s="74" t="str">
        <f t="shared" si="23"/>
        <v/>
      </c>
      <c r="AJ292" s="75" t="str">
        <f t="shared" ca="1" si="24"/>
        <v/>
      </c>
      <c r="AK292" s="71"/>
      <c r="AL292" s="70"/>
      <c r="AM292" s="71"/>
      <c r="AN292" s="70"/>
    </row>
    <row r="293" spans="6:40" s="59" customFormat="1" x14ac:dyDescent="0.35">
      <c r="F293" s="65"/>
      <c r="J293" s="67"/>
      <c r="M293" s="68"/>
      <c r="W293" s="20" t="str">
        <f t="shared" si="20"/>
        <v/>
      </c>
      <c r="AA293" s="70"/>
      <c r="AB293" s="71"/>
      <c r="AC293" s="71"/>
      <c r="AD293" s="72" t="str">
        <f t="shared" ca="1" si="21"/>
        <v/>
      </c>
      <c r="AE293" s="72" t="str">
        <f t="shared" ca="1" si="22"/>
        <v/>
      </c>
      <c r="AF293" s="73"/>
      <c r="AG293" s="70"/>
      <c r="AH293" s="70"/>
      <c r="AI293" s="74" t="str">
        <f t="shared" si="23"/>
        <v/>
      </c>
      <c r="AJ293" s="75" t="str">
        <f t="shared" ca="1" si="24"/>
        <v/>
      </c>
      <c r="AK293" s="71"/>
      <c r="AL293" s="70"/>
      <c r="AM293" s="71"/>
      <c r="AN293" s="70"/>
    </row>
    <row r="294" spans="6:40" s="59" customFormat="1" x14ac:dyDescent="0.35">
      <c r="F294" s="65"/>
      <c r="J294" s="67"/>
      <c r="M294" s="68"/>
      <c r="W294" s="20" t="str">
        <f t="shared" si="20"/>
        <v/>
      </c>
      <c r="AA294" s="70"/>
      <c r="AB294" s="71"/>
      <c r="AC294" s="71"/>
      <c r="AD294" s="72" t="str">
        <f t="shared" ca="1" si="21"/>
        <v/>
      </c>
      <c r="AE294" s="72" t="str">
        <f t="shared" ca="1" si="22"/>
        <v/>
      </c>
      <c r="AF294" s="73"/>
      <c r="AG294" s="70"/>
      <c r="AH294" s="70"/>
      <c r="AI294" s="74" t="str">
        <f t="shared" si="23"/>
        <v/>
      </c>
      <c r="AJ294" s="75" t="str">
        <f t="shared" ca="1" si="24"/>
        <v/>
      </c>
      <c r="AK294" s="71"/>
      <c r="AL294" s="70"/>
      <c r="AM294" s="71"/>
      <c r="AN294" s="70"/>
    </row>
    <row r="295" spans="6:40" s="59" customFormat="1" x14ac:dyDescent="0.35">
      <c r="F295" s="65"/>
      <c r="J295" s="67"/>
      <c r="M295" s="68"/>
      <c r="W295" s="20" t="str">
        <f t="shared" si="20"/>
        <v/>
      </c>
      <c r="AA295" s="70"/>
      <c r="AB295" s="71"/>
      <c r="AC295" s="71"/>
      <c r="AD295" s="72" t="str">
        <f t="shared" ca="1" si="21"/>
        <v/>
      </c>
      <c r="AE295" s="72" t="str">
        <f t="shared" ca="1" si="22"/>
        <v/>
      </c>
      <c r="AF295" s="73"/>
      <c r="AG295" s="70"/>
      <c r="AH295" s="70"/>
      <c r="AI295" s="74" t="str">
        <f t="shared" si="23"/>
        <v/>
      </c>
      <c r="AJ295" s="75" t="str">
        <f t="shared" ca="1" si="24"/>
        <v/>
      </c>
      <c r="AK295" s="71"/>
      <c r="AL295" s="70"/>
      <c r="AM295" s="71"/>
      <c r="AN295" s="70"/>
    </row>
    <row r="296" spans="6:40" s="59" customFormat="1" x14ac:dyDescent="0.35">
      <c r="F296" s="65"/>
      <c r="J296" s="67"/>
      <c r="M296" s="68"/>
      <c r="W296" s="20" t="str">
        <f t="shared" si="20"/>
        <v/>
      </c>
      <c r="AA296" s="70"/>
      <c r="AB296" s="71"/>
      <c r="AC296" s="71"/>
      <c r="AD296" s="72" t="str">
        <f t="shared" ca="1" si="21"/>
        <v/>
      </c>
      <c r="AE296" s="72" t="str">
        <f t="shared" ca="1" si="22"/>
        <v/>
      </c>
      <c r="AF296" s="73"/>
      <c r="AG296" s="70"/>
      <c r="AH296" s="70"/>
      <c r="AI296" s="74" t="str">
        <f t="shared" si="23"/>
        <v/>
      </c>
      <c r="AJ296" s="75" t="str">
        <f t="shared" ca="1" si="24"/>
        <v/>
      </c>
      <c r="AK296" s="71"/>
      <c r="AL296" s="70"/>
      <c r="AM296" s="71"/>
      <c r="AN296" s="70"/>
    </row>
    <row r="297" spans="6:40" s="59" customFormat="1" x14ac:dyDescent="0.35">
      <c r="F297" s="65"/>
      <c r="J297" s="67"/>
      <c r="M297" s="68"/>
      <c r="W297" s="20" t="str">
        <f t="shared" si="20"/>
        <v/>
      </c>
      <c r="AA297" s="70"/>
      <c r="AB297" s="71"/>
      <c r="AC297" s="71"/>
      <c r="AD297" s="72" t="str">
        <f t="shared" ca="1" si="21"/>
        <v/>
      </c>
      <c r="AE297" s="72" t="str">
        <f t="shared" ca="1" si="22"/>
        <v/>
      </c>
      <c r="AF297" s="73"/>
      <c r="AG297" s="70"/>
      <c r="AH297" s="70"/>
      <c r="AI297" s="74" t="str">
        <f t="shared" si="23"/>
        <v/>
      </c>
      <c r="AJ297" s="75" t="str">
        <f t="shared" ca="1" si="24"/>
        <v/>
      </c>
      <c r="AK297" s="71"/>
      <c r="AL297" s="70"/>
      <c r="AM297" s="71"/>
      <c r="AN297" s="70"/>
    </row>
    <row r="298" spans="6:40" s="59" customFormat="1" x14ac:dyDescent="0.35">
      <c r="F298" s="65"/>
      <c r="J298" s="67"/>
      <c r="M298" s="68"/>
      <c r="W298" s="20" t="str">
        <f t="shared" si="20"/>
        <v/>
      </c>
      <c r="AA298" s="70"/>
      <c r="AB298" s="71"/>
      <c r="AC298" s="71"/>
      <c r="AD298" s="72" t="str">
        <f t="shared" ca="1" si="21"/>
        <v/>
      </c>
      <c r="AE298" s="72" t="str">
        <f t="shared" ca="1" si="22"/>
        <v/>
      </c>
      <c r="AF298" s="73"/>
      <c r="AG298" s="70"/>
      <c r="AH298" s="70"/>
      <c r="AI298" s="74" t="str">
        <f t="shared" si="23"/>
        <v/>
      </c>
      <c r="AJ298" s="75" t="str">
        <f t="shared" ca="1" si="24"/>
        <v/>
      </c>
      <c r="AK298" s="71"/>
      <c r="AL298" s="70"/>
      <c r="AM298" s="71"/>
      <c r="AN298" s="70"/>
    </row>
    <row r="299" spans="6:40" s="59" customFormat="1" x14ac:dyDescent="0.35">
      <c r="F299" s="65"/>
      <c r="J299" s="67"/>
      <c r="M299" s="68"/>
      <c r="W299" s="20" t="str">
        <f t="shared" si="20"/>
        <v/>
      </c>
      <c r="AA299" s="70"/>
      <c r="AB299" s="71"/>
      <c r="AC299" s="71"/>
      <c r="AD299" s="72" t="str">
        <f t="shared" ca="1" si="21"/>
        <v/>
      </c>
      <c r="AE299" s="72" t="str">
        <f t="shared" ca="1" si="22"/>
        <v/>
      </c>
      <c r="AF299" s="73"/>
      <c r="AG299" s="70"/>
      <c r="AH299" s="70"/>
      <c r="AI299" s="74" t="str">
        <f t="shared" si="23"/>
        <v/>
      </c>
      <c r="AJ299" s="75" t="str">
        <f t="shared" ca="1" si="24"/>
        <v/>
      </c>
      <c r="AK299" s="71"/>
      <c r="AL299" s="70"/>
      <c r="AM299" s="71"/>
      <c r="AN299" s="70"/>
    </row>
    <row r="300" spans="6:40" s="59" customFormat="1" x14ac:dyDescent="0.35">
      <c r="F300" s="65"/>
      <c r="J300" s="67"/>
      <c r="M300" s="68"/>
      <c r="W300" s="20" t="str">
        <f t="shared" si="20"/>
        <v/>
      </c>
      <c r="AA300" s="70"/>
      <c r="AB300" s="71"/>
      <c r="AC300" s="71"/>
      <c r="AD300" s="72" t="str">
        <f t="shared" ca="1" si="21"/>
        <v/>
      </c>
      <c r="AE300" s="72" t="str">
        <f t="shared" ca="1" si="22"/>
        <v/>
      </c>
      <c r="AF300" s="73"/>
      <c r="AG300" s="70"/>
      <c r="AH300" s="70"/>
      <c r="AI300" s="74" t="str">
        <f t="shared" si="23"/>
        <v/>
      </c>
      <c r="AJ300" s="75" t="str">
        <f t="shared" ca="1" si="24"/>
        <v/>
      </c>
      <c r="AK300" s="71"/>
      <c r="AL300" s="70"/>
      <c r="AM300" s="71"/>
      <c r="AN300" s="70"/>
    </row>
    <row r="301" spans="6:40" s="59" customFormat="1" x14ac:dyDescent="0.35">
      <c r="F301" s="65"/>
      <c r="J301" s="67"/>
      <c r="M301" s="68"/>
      <c r="W301" s="20" t="str">
        <f t="shared" si="20"/>
        <v/>
      </c>
      <c r="AA301" s="70"/>
      <c r="AB301" s="71"/>
      <c r="AC301" s="71"/>
      <c r="AD301" s="72" t="str">
        <f t="shared" ca="1" si="21"/>
        <v/>
      </c>
      <c r="AE301" s="72" t="str">
        <f t="shared" ca="1" si="22"/>
        <v/>
      </c>
      <c r="AF301" s="73"/>
      <c r="AG301" s="70"/>
      <c r="AH301" s="70"/>
      <c r="AI301" s="74" t="str">
        <f t="shared" si="23"/>
        <v/>
      </c>
      <c r="AJ301" s="75" t="str">
        <f t="shared" ca="1" si="24"/>
        <v/>
      </c>
      <c r="AK301" s="71"/>
      <c r="AL301" s="70"/>
      <c r="AM301" s="71"/>
      <c r="AN301" s="70"/>
    </row>
    <row r="302" spans="6:40" s="59" customFormat="1" x14ac:dyDescent="0.35">
      <c r="F302" s="65"/>
      <c r="J302" s="67"/>
      <c r="M302" s="68"/>
      <c r="W302" s="20" t="str">
        <f t="shared" si="20"/>
        <v/>
      </c>
      <c r="AA302" s="70"/>
      <c r="AB302" s="71"/>
      <c r="AC302" s="71"/>
      <c r="AD302" s="72" t="str">
        <f t="shared" ca="1" si="21"/>
        <v/>
      </c>
      <c r="AE302" s="72" t="str">
        <f t="shared" ca="1" si="22"/>
        <v/>
      </c>
      <c r="AF302" s="73"/>
      <c r="AG302" s="70"/>
      <c r="AH302" s="70"/>
      <c r="AI302" s="74" t="str">
        <f t="shared" si="23"/>
        <v/>
      </c>
      <c r="AJ302" s="75" t="str">
        <f t="shared" ca="1" si="24"/>
        <v/>
      </c>
      <c r="AK302" s="71"/>
      <c r="AL302" s="70"/>
      <c r="AM302" s="71"/>
      <c r="AN302" s="70"/>
    </row>
    <row r="303" spans="6:40" s="59" customFormat="1" x14ac:dyDescent="0.35">
      <c r="F303" s="65"/>
      <c r="J303" s="67"/>
      <c r="M303" s="68"/>
      <c r="W303" s="20" t="str">
        <f t="shared" si="20"/>
        <v/>
      </c>
      <c r="AA303" s="70"/>
      <c r="AB303" s="71"/>
      <c r="AC303" s="71"/>
      <c r="AD303" s="72" t="str">
        <f t="shared" ca="1" si="21"/>
        <v/>
      </c>
      <c r="AE303" s="72" t="str">
        <f t="shared" ca="1" si="22"/>
        <v/>
      </c>
      <c r="AF303" s="73"/>
      <c r="AG303" s="70"/>
      <c r="AH303" s="70"/>
      <c r="AI303" s="74" t="str">
        <f t="shared" si="23"/>
        <v/>
      </c>
      <c r="AJ303" s="75" t="str">
        <f t="shared" ca="1" si="24"/>
        <v/>
      </c>
      <c r="AK303" s="71"/>
      <c r="AL303" s="70"/>
      <c r="AM303" s="71"/>
      <c r="AN303" s="70"/>
    </row>
    <row r="304" spans="6:40" s="59" customFormat="1" x14ac:dyDescent="0.35">
      <c r="F304" s="65"/>
      <c r="J304" s="67"/>
      <c r="M304" s="68"/>
      <c r="W304" s="20" t="str">
        <f t="shared" si="20"/>
        <v/>
      </c>
      <c r="AA304" s="70"/>
      <c r="AB304" s="71"/>
      <c r="AC304" s="71"/>
      <c r="AD304" s="72" t="str">
        <f t="shared" ca="1" si="21"/>
        <v/>
      </c>
      <c r="AE304" s="72" t="str">
        <f t="shared" ca="1" si="22"/>
        <v/>
      </c>
      <c r="AF304" s="73"/>
      <c r="AG304" s="70"/>
      <c r="AH304" s="70"/>
      <c r="AI304" s="74" t="str">
        <f t="shared" si="23"/>
        <v/>
      </c>
      <c r="AJ304" s="75" t="str">
        <f t="shared" ca="1" si="24"/>
        <v/>
      </c>
      <c r="AK304" s="71"/>
      <c r="AL304" s="70"/>
      <c r="AM304" s="71"/>
      <c r="AN304" s="70"/>
    </row>
    <row r="305" spans="6:40" s="59" customFormat="1" x14ac:dyDescent="0.35">
      <c r="F305" s="65"/>
      <c r="J305" s="67"/>
      <c r="M305" s="68"/>
      <c r="W305" s="20" t="str">
        <f t="shared" si="20"/>
        <v/>
      </c>
      <c r="AA305" s="70"/>
      <c r="AB305" s="71"/>
      <c r="AC305" s="71"/>
      <c r="AD305" s="72" t="str">
        <f t="shared" ca="1" si="21"/>
        <v/>
      </c>
      <c r="AE305" s="72" t="str">
        <f t="shared" ca="1" si="22"/>
        <v/>
      </c>
      <c r="AF305" s="73"/>
      <c r="AG305" s="70"/>
      <c r="AH305" s="70"/>
      <c r="AI305" s="74" t="str">
        <f t="shared" si="23"/>
        <v/>
      </c>
      <c r="AJ305" s="75" t="str">
        <f t="shared" ca="1" si="24"/>
        <v/>
      </c>
      <c r="AK305" s="71"/>
      <c r="AL305" s="70"/>
      <c r="AM305" s="71"/>
      <c r="AN305" s="70"/>
    </row>
    <row r="306" spans="6:40" s="59" customFormat="1" x14ac:dyDescent="0.35">
      <c r="F306" s="65"/>
      <c r="J306" s="67"/>
      <c r="M306" s="68"/>
      <c r="W306" s="20" t="str">
        <f t="shared" si="20"/>
        <v/>
      </c>
      <c r="AA306" s="70"/>
      <c r="AB306" s="71"/>
      <c r="AC306" s="71"/>
      <c r="AD306" s="72" t="str">
        <f t="shared" ca="1" si="21"/>
        <v/>
      </c>
      <c r="AE306" s="72" t="str">
        <f t="shared" ca="1" si="22"/>
        <v/>
      </c>
      <c r="AF306" s="73"/>
      <c r="AG306" s="70"/>
      <c r="AH306" s="70"/>
      <c r="AI306" s="74" t="str">
        <f t="shared" si="23"/>
        <v/>
      </c>
      <c r="AJ306" s="75" t="str">
        <f t="shared" ca="1" si="24"/>
        <v/>
      </c>
      <c r="AK306" s="71"/>
      <c r="AL306" s="70"/>
      <c r="AM306" s="71"/>
      <c r="AN306" s="70"/>
    </row>
    <row r="307" spans="6:40" s="59" customFormat="1" x14ac:dyDescent="0.35">
      <c r="F307" s="65"/>
      <c r="J307" s="67"/>
      <c r="M307" s="68"/>
      <c r="W307" s="20" t="str">
        <f t="shared" si="20"/>
        <v/>
      </c>
      <c r="AA307" s="70"/>
      <c r="AB307" s="71"/>
      <c r="AC307" s="71"/>
      <c r="AD307" s="72" t="str">
        <f t="shared" ca="1" si="21"/>
        <v/>
      </c>
      <c r="AE307" s="72" t="str">
        <f t="shared" ca="1" si="22"/>
        <v/>
      </c>
      <c r="AF307" s="73"/>
      <c r="AG307" s="70"/>
      <c r="AH307" s="70"/>
      <c r="AI307" s="74" t="str">
        <f t="shared" si="23"/>
        <v/>
      </c>
      <c r="AJ307" s="75" t="str">
        <f t="shared" ca="1" si="24"/>
        <v/>
      </c>
      <c r="AK307" s="71"/>
      <c r="AL307" s="70"/>
      <c r="AM307" s="71"/>
      <c r="AN307" s="70"/>
    </row>
    <row r="308" spans="6:40" s="59" customFormat="1" x14ac:dyDescent="0.35">
      <c r="F308" s="65"/>
      <c r="J308" s="67"/>
      <c r="M308" s="68"/>
      <c r="W308" s="20" t="str">
        <f t="shared" si="20"/>
        <v/>
      </c>
      <c r="AA308" s="70"/>
      <c r="AB308" s="71"/>
      <c r="AC308" s="71"/>
      <c r="AD308" s="72" t="str">
        <f t="shared" ca="1" si="21"/>
        <v/>
      </c>
      <c r="AE308" s="72" t="str">
        <f t="shared" ca="1" si="22"/>
        <v/>
      </c>
      <c r="AF308" s="73"/>
      <c r="AG308" s="70"/>
      <c r="AH308" s="70"/>
      <c r="AI308" s="74" t="str">
        <f t="shared" si="23"/>
        <v/>
      </c>
      <c r="AJ308" s="75" t="str">
        <f t="shared" ca="1" si="24"/>
        <v/>
      </c>
      <c r="AK308" s="71"/>
      <c r="AL308" s="70"/>
      <c r="AM308" s="71"/>
      <c r="AN308" s="70"/>
    </row>
    <row r="309" spans="6:40" s="59" customFormat="1" x14ac:dyDescent="0.35">
      <c r="F309" s="65"/>
      <c r="J309" s="67"/>
      <c r="M309" s="68"/>
      <c r="W309" s="20" t="str">
        <f t="shared" si="20"/>
        <v/>
      </c>
      <c r="AA309" s="70"/>
      <c r="AB309" s="71"/>
      <c r="AC309" s="71"/>
      <c r="AD309" s="72" t="str">
        <f t="shared" ca="1" si="21"/>
        <v/>
      </c>
      <c r="AE309" s="72" t="str">
        <f t="shared" ca="1" si="22"/>
        <v/>
      </c>
      <c r="AF309" s="73"/>
      <c r="AG309" s="70"/>
      <c r="AH309" s="70"/>
      <c r="AI309" s="74" t="str">
        <f t="shared" si="23"/>
        <v/>
      </c>
      <c r="AJ309" s="75" t="str">
        <f t="shared" ca="1" si="24"/>
        <v/>
      </c>
      <c r="AK309" s="71"/>
      <c r="AL309" s="70"/>
      <c r="AM309" s="71"/>
      <c r="AN309" s="70"/>
    </row>
    <row r="310" spans="6:40" s="59" customFormat="1" x14ac:dyDescent="0.35">
      <c r="F310" s="65"/>
      <c r="J310" s="67"/>
      <c r="M310" s="68"/>
      <c r="W310" s="20" t="str">
        <f t="shared" si="20"/>
        <v/>
      </c>
      <c r="AA310" s="70"/>
      <c r="AB310" s="71"/>
      <c r="AC310" s="71"/>
      <c r="AD310" s="72" t="str">
        <f t="shared" ca="1" si="21"/>
        <v/>
      </c>
      <c r="AE310" s="72" t="str">
        <f t="shared" ca="1" si="22"/>
        <v/>
      </c>
      <c r="AF310" s="73"/>
      <c r="AG310" s="70"/>
      <c r="AH310" s="70"/>
      <c r="AI310" s="74" t="str">
        <f t="shared" si="23"/>
        <v/>
      </c>
      <c r="AJ310" s="75" t="str">
        <f t="shared" ca="1" si="24"/>
        <v/>
      </c>
      <c r="AK310" s="71"/>
      <c r="AL310" s="70"/>
      <c r="AM310" s="71"/>
      <c r="AN310" s="70"/>
    </row>
    <row r="311" spans="6:40" s="59" customFormat="1" x14ac:dyDescent="0.35">
      <c r="F311" s="65"/>
      <c r="J311" s="67"/>
      <c r="M311" s="68"/>
      <c r="W311" s="20" t="str">
        <f t="shared" si="20"/>
        <v/>
      </c>
      <c r="AA311" s="70"/>
      <c r="AB311" s="71"/>
      <c r="AC311" s="71"/>
      <c r="AD311" s="72" t="str">
        <f t="shared" ca="1" si="21"/>
        <v/>
      </c>
      <c r="AE311" s="72" t="str">
        <f t="shared" ca="1" si="22"/>
        <v/>
      </c>
      <c r="AF311" s="73"/>
      <c r="AG311" s="70"/>
      <c r="AH311" s="70"/>
      <c r="AI311" s="74" t="str">
        <f t="shared" si="23"/>
        <v/>
      </c>
      <c r="AJ311" s="75" t="str">
        <f t="shared" ca="1" si="24"/>
        <v/>
      </c>
      <c r="AK311" s="71"/>
      <c r="AL311" s="70"/>
      <c r="AM311" s="71"/>
      <c r="AN311" s="70"/>
    </row>
    <row r="312" spans="6:40" s="59" customFormat="1" x14ac:dyDescent="0.35">
      <c r="F312" s="65"/>
      <c r="J312" s="67"/>
      <c r="M312" s="68"/>
      <c r="W312" s="20" t="str">
        <f t="shared" si="20"/>
        <v/>
      </c>
      <c r="AA312" s="70"/>
      <c r="AB312" s="71"/>
      <c r="AC312" s="71"/>
      <c r="AD312" s="72" t="str">
        <f t="shared" ca="1" si="21"/>
        <v/>
      </c>
      <c r="AE312" s="72" t="str">
        <f t="shared" ca="1" si="22"/>
        <v/>
      </c>
      <c r="AF312" s="73"/>
      <c r="AG312" s="70"/>
      <c r="AH312" s="70"/>
      <c r="AI312" s="74" t="str">
        <f t="shared" si="23"/>
        <v/>
      </c>
      <c r="AJ312" s="75" t="str">
        <f t="shared" ca="1" si="24"/>
        <v/>
      </c>
      <c r="AK312" s="71"/>
      <c r="AL312" s="70"/>
      <c r="AM312" s="71"/>
      <c r="AN312" s="70"/>
    </row>
    <row r="313" spans="6:40" s="59" customFormat="1" x14ac:dyDescent="0.35">
      <c r="F313" s="65"/>
      <c r="J313" s="67"/>
      <c r="M313" s="68"/>
      <c r="W313" s="20" t="str">
        <f t="shared" si="20"/>
        <v/>
      </c>
      <c r="AA313" s="70"/>
      <c r="AB313" s="71"/>
      <c r="AC313" s="71"/>
      <c r="AD313" s="72" t="str">
        <f t="shared" ca="1" si="21"/>
        <v/>
      </c>
      <c r="AE313" s="72" t="str">
        <f t="shared" ca="1" si="22"/>
        <v/>
      </c>
      <c r="AF313" s="73"/>
      <c r="AG313" s="70"/>
      <c r="AH313" s="70"/>
      <c r="AI313" s="74" t="str">
        <f t="shared" si="23"/>
        <v/>
      </c>
      <c r="AJ313" s="75" t="str">
        <f t="shared" ca="1" si="24"/>
        <v/>
      </c>
      <c r="AK313" s="71"/>
      <c r="AL313" s="70"/>
      <c r="AM313" s="71"/>
      <c r="AN313" s="70"/>
    </row>
    <row r="314" spans="6:40" s="59" customFormat="1" x14ac:dyDescent="0.35">
      <c r="F314" s="65"/>
      <c r="J314" s="67"/>
      <c r="M314" s="68"/>
      <c r="W314" s="20" t="str">
        <f t="shared" si="20"/>
        <v/>
      </c>
      <c r="AA314" s="70"/>
      <c r="AB314" s="71"/>
      <c r="AC314" s="71"/>
      <c r="AD314" s="72" t="str">
        <f t="shared" ca="1" si="21"/>
        <v/>
      </c>
      <c r="AE314" s="72" t="str">
        <f t="shared" ca="1" si="22"/>
        <v/>
      </c>
      <c r="AF314" s="73"/>
      <c r="AG314" s="70"/>
      <c r="AH314" s="70"/>
      <c r="AI314" s="74" t="str">
        <f t="shared" si="23"/>
        <v/>
      </c>
      <c r="AJ314" s="75" t="str">
        <f t="shared" ca="1" si="24"/>
        <v/>
      </c>
      <c r="AK314" s="71"/>
      <c r="AL314" s="70"/>
      <c r="AM314" s="71"/>
      <c r="AN314" s="70"/>
    </row>
    <row r="315" spans="6:40" s="59" customFormat="1" x14ac:dyDescent="0.35">
      <c r="F315" s="65"/>
      <c r="J315" s="67"/>
      <c r="M315" s="68"/>
      <c r="W315" s="20" t="str">
        <f t="shared" si="20"/>
        <v/>
      </c>
      <c r="AA315" s="70"/>
      <c r="AB315" s="71"/>
      <c r="AC315" s="71"/>
      <c r="AD315" s="72" t="str">
        <f t="shared" ca="1" si="21"/>
        <v/>
      </c>
      <c r="AE315" s="72" t="str">
        <f t="shared" ca="1" si="22"/>
        <v/>
      </c>
      <c r="AF315" s="73"/>
      <c r="AG315" s="70"/>
      <c r="AH315" s="70"/>
      <c r="AI315" s="74" t="str">
        <f t="shared" si="23"/>
        <v/>
      </c>
      <c r="AJ315" s="75" t="str">
        <f t="shared" ca="1" si="24"/>
        <v/>
      </c>
      <c r="AK315" s="71"/>
      <c r="AL315" s="70"/>
      <c r="AM315" s="71"/>
      <c r="AN315" s="70"/>
    </row>
    <row r="316" spans="6:40" s="59" customFormat="1" x14ac:dyDescent="0.35">
      <c r="F316" s="65"/>
      <c r="J316" s="67"/>
      <c r="M316" s="68"/>
      <c r="W316" s="20" t="str">
        <f t="shared" si="20"/>
        <v/>
      </c>
      <c r="AA316" s="70"/>
      <c r="AB316" s="71"/>
      <c r="AC316" s="71"/>
      <c r="AD316" s="72" t="str">
        <f t="shared" ca="1" si="21"/>
        <v/>
      </c>
      <c r="AE316" s="72" t="str">
        <f t="shared" ca="1" si="22"/>
        <v/>
      </c>
      <c r="AF316" s="73"/>
      <c r="AG316" s="70"/>
      <c r="AH316" s="70"/>
      <c r="AI316" s="74" t="str">
        <f t="shared" si="23"/>
        <v/>
      </c>
      <c r="AJ316" s="75" t="str">
        <f t="shared" ca="1" si="24"/>
        <v/>
      </c>
      <c r="AK316" s="71"/>
      <c r="AL316" s="70"/>
      <c r="AM316" s="71"/>
      <c r="AN316" s="70"/>
    </row>
    <row r="317" spans="6:40" s="59" customFormat="1" x14ac:dyDescent="0.35">
      <c r="F317" s="65"/>
      <c r="J317" s="67"/>
      <c r="M317" s="68"/>
      <c r="W317" s="20" t="str">
        <f t="shared" si="20"/>
        <v/>
      </c>
      <c r="AA317" s="70"/>
      <c r="AB317" s="71"/>
      <c r="AC317" s="71"/>
      <c r="AD317" s="72" t="str">
        <f t="shared" ca="1" si="21"/>
        <v/>
      </c>
      <c r="AE317" s="72" t="str">
        <f t="shared" ca="1" si="22"/>
        <v/>
      </c>
      <c r="AF317" s="73"/>
      <c r="AG317" s="70"/>
      <c r="AH317" s="70"/>
      <c r="AI317" s="74" t="str">
        <f t="shared" si="23"/>
        <v/>
      </c>
      <c r="AJ317" s="75" t="str">
        <f t="shared" ca="1" si="24"/>
        <v/>
      </c>
      <c r="AK317" s="71"/>
      <c r="AL317" s="70"/>
      <c r="AM317" s="71"/>
      <c r="AN317" s="70"/>
    </row>
    <row r="318" spans="6:40" s="59" customFormat="1" x14ac:dyDescent="0.35">
      <c r="F318" s="65"/>
      <c r="J318" s="67"/>
      <c r="M318" s="68"/>
      <c r="W318" s="20" t="str">
        <f t="shared" si="20"/>
        <v/>
      </c>
      <c r="AA318" s="70"/>
      <c r="AB318" s="71"/>
      <c r="AC318" s="71"/>
      <c r="AD318" s="72" t="str">
        <f t="shared" ca="1" si="21"/>
        <v/>
      </c>
      <c r="AE318" s="72" t="str">
        <f t="shared" ca="1" si="22"/>
        <v/>
      </c>
      <c r="AF318" s="73"/>
      <c r="AG318" s="70"/>
      <c r="AH318" s="70"/>
      <c r="AI318" s="74" t="str">
        <f t="shared" si="23"/>
        <v/>
      </c>
      <c r="AJ318" s="75" t="str">
        <f t="shared" ca="1" si="24"/>
        <v/>
      </c>
      <c r="AK318" s="71"/>
      <c r="AL318" s="70"/>
      <c r="AM318" s="71"/>
      <c r="AN318" s="70"/>
    </row>
    <row r="319" spans="6:40" s="59" customFormat="1" x14ac:dyDescent="0.35">
      <c r="F319" s="65"/>
      <c r="J319" s="67"/>
      <c r="M319" s="68"/>
      <c r="W319" s="20" t="str">
        <f t="shared" si="20"/>
        <v/>
      </c>
      <c r="AA319" s="70"/>
      <c r="AB319" s="71"/>
      <c r="AC319" s="71"/>
      <c r="AD319" s="72" t="str">
        <f t="shared" ca="1" si="21"/>
        <v/>
      </c>
      <c r="AE319" s="72" t="str">
        <f t="shared" ca="1" si="22"/>
        <v/>
      </c>
      <c r="AF319" s="73"/>
      <c r="AG319" s="70"/>
      <c r="AH319" s="70"/>
      <c r="AI319" s="74" t="str">
        <f t="shared" si="23"/>
        <v/>
      </c>
      <c r="AJ319" s="75" t="str">
        <f t="shared" ca="1" si="24"/>
        <v/>
      </c>
      <c r="AK319" s="71"/>
      <c r="AL319" s="70"/>
      <c r="AM319" s="71"/>
      <c r="AN319" s="70"/>
    </row>
    <row r="320" spans="6:40" s="59" customFormat="1" x14ac:dyDescent="0.35">
      <c r="F320" s="65"/>
      <c r="J320" s="67"/>
      <c r="M320" s="68"/>
      <c r="W320" s="20" t="str">
        <f t="shared" si="20"/>
        <v/>
      </c>
      <c r="AA320" s="70"/>
      <c r="AB320" s="71"/>
      <c r="AC320" s="71"/>
      <c r="AD320" s="72" t="str">
        <f t="shared" ca="1" si="21"/>
        <v/>
      </c>
      <c r="AE320" s="72" t="str">
        <f t="shared" ca="1" si="22"/>
        <v/>
      </c>
      <c r="AF320" s="73"/>
      <c r="AG320" s="70"/>
      <c r="AH320" s="70"/>
      <c r="AI320" s="74" t="str">
        <f t="shared" si="23"/>
        <v/>
      </c>
      <c r="AJ320" s="75" t="str">
        <f t="shared" ca="1" si="24"/>
        <v/>
      </c>
      <c r="AK320" s="71"/>
      <c r="AL320" s="70"/>
      <c r="AM320" s="71"/>
      <c r="AN320" s="70"/>
    </row>
    <row r="321" spans="6:40" s="59" customFormat="1" x14ac:dyDescent="0.35">
      <c r="F321" s="65"/>
      <c r="J321" s="67"/>
      <c r="M321" s="68"/>
      <c r="W321" s="20" t="str">
        <f t="shared" si="20"/>
        <v/>
      </c>
      <c r="AA321" s="70"/>
      <c r="AB321" s="71"/>
      <c r="AC321" s="71"/>
      <c r="AD321" s="72" t="str">
        <f t="shared" ca="1" si="21"/>
        <v/>
      </c>
      <c r="AE321" s="72" t="str">
        <f t="shared" ca="1" si="22"/>
        <v/>
      </c>
      <c r="AF321" s="73"/>
      <c r="AG321" s="70"/>
      <c r="AH321" s="70"/>
      <c r="AI321" s="74" t="str">
        <f t="shared" si="23"/>
        <v/>
      </c>
      <c r="AJ321" s="75" t="str">
        <f t="shared" ca="1" si="24"/>
        <v/>
      </c>
      <c r="AK321" s="71"/>
      <c r="AL321" s="70"/>
      <c r="AM321" s="71"/>
      <c r="AN321" s="70"/>
    </row>
    <row r="322" spans="6:40" s="59" customFormat="1" x14ac:dyDescent="0.35">
      <c r="F322" s="65"/>
      <c r="J322" s="67"/>
      <c r="M322" s="68"/>
      <c r="W322" s="20" t="str">
        <f t="shared" si="20"/>
        <v/>
      </c>
      <c r="AA322" s="70"/>
      <c r="AB322" s="71"/>
      <c r="AC322" s="71"/>
      <c r="AD322" s="72" t="str">
        <f t="shared" ca="1" si="21"/>
        <v/>
      </c>
      <c r="AE322" s="72" t="str">
        <f t="shared" ca="1" si="22"/>
        <v/>
      </c>
      <c r="AF322" s="73"/>
      <c r="AG322" s="70"/>
      <c r="AH322" s="70"/>
      <c r="AI322" s="74" t="str">
        <f t="shared" si="23"/>
        <v/>
      </c>
      <c r="AJ322" s="75" t="str">
        <f t="shared" ca="1" si="24"/>
        <v/>
      </c>
      <c r="AK322" s="71"/>
      <c r="AL322" s="70"/>
      <c r="AM322" s="71"/>
      <c r="AN322" s="70"/>
    </row>
    <row r="323" spans="6:40" s="59" customFormat="1" x14ac:dyDescent="0.35">
      <c r="F323" s="65"/>
      <c r="J323" s="67"/>
      <c r="M323" s="68"/>
      <c r="W323" s="20" t="str">
        <f t="shared" si="20"/>
        <v/>
      </c>
      <c r="AA323" s="70"/>
      <c r="AB323" s="71"/>
      <c r="AC323" s="71"/>
      <c r="AD323" s="72" t="str">
        <f t="shared" ca="1" si="21"/>
        <v/>
      </c>
      <c r="AE323" s="72" t="str">
        <f t="shared" ca="1" si="22"/>
        <v/>
      </c>
      <c r="AF323" s="73"/>
      <c r="AG323" s="70"/>
      <c r="AH323" s="70"/>
      <c r="AI323" s="74" t="str">
        <f t="shared" si="23"/>
        <v/>
      </c>
      <c r="AJ323" s="75" t="str">
        <f t="shared" ca="1" si="24"/>
        <v/>
      </c>
      <c r="AK323" s="71"/>
      <c r="AL323" s="70"/>
      <c r="AM323" s="71"/>
      <c r="AN323" s="70"/>
    </row>
    <row r="324" spans="6:40" s="59" customFormat="1" x14ac:dyDescent="0.35">
      <c r="F324" s="65"/>
      <c r="J324" s="67"/>
      <c r="M324" s="68"/>
      <c r="W324" s="20" t="str">
        <f t="shared" si="20"/>
        <v/>
      </c>
      <c r="AA324" s="70"/>
      <c r="AB324" s="71"/>
      <c r="AC324" s="71"/>
      <c r="AD324" s="72" t="str">
        <f t="shared" ca="1" si="21"/>
        <v/>
      </c>
      <c r="AE324" s="72" t="str">
        <f t="shared" ca="1" si="22"/>
        <v/>
      </c>
      <c r="AF324" s="73"/>
      <c r="AG324" s="70"/>
      <c r="AH324" s="70"/>
      <c r="AI324" s="74" t="str">
        <f t="shared" si="23"/>
        <v/>
      </c>
      <c r="AJ324" s="75" t="str">
        <f t="shared" ca="1" si="24"/>
        <v/>
      </c>
      <c r="AK324" s="71"/>
      <c r="AL324" s="70"/>
      <c r="AM324" s="71"/>
      <c r="AN324" s="70"/>
    </row>
    <row r="325" spans="6:40" s="59" customFormat="1" x14ac:dyDescent="0.35">
      <c r="F325" s="65"/>
      <c r="J325" s="67"/>
      <c r="M325" s="68"/>
      <c r="W325" s="20" t="str">
        <f t="shared" si="20"/>
        <v/>
      </c>
      <c r="AA325" s="70"/>
      <c r="AB325" s="71"/>
      <c r="AC325" s="71"/>
      <c r="AD325" s="72" t="str">
        <f t="shared" ca="1" si="21"/>
        <v/>
      </c>
      <c r="AE325" s="72" t="str">
        <f t="shared" ca="1" si="22"/>
        <v/>
      </c>
      <c r="AF325" s="73"/>
      <c r="AG325" s="70"/>
      <c r="AH325" s="70"/>
      <c r="AI325" s="74" t="str">
        <f t="shared" si="23"/>
        <v/>
      </c>
      <c r="AJ325" s="75" t="str">
        <f t="shared" ca="1" si="24"/>
        <v/>
      </c>
      <c r="AK325" s="71"/>
      <c r="AL325" s="70"/>
      <c r="AM325" s="71"/>
      <c r="AN325" s="70"/>
    </row>
    <row r="326" spans="6:40" s="59" customFormat="1" x14ac:dyDescent="0.35">
      <c r="F326" s="65"/>
      <c r="J326" s="67"/>
      <c r="M326" s="68"/>
      <c r="W326" s="20" t="str">
        <f t="shared" si="20"/>
        <v/>
      </c>
      <c r="AA326" s="70"/>
      <c r="AB326" s="71"/>
      <c r="AC326" s="71"/>
      <c r="AD326" s="72" t="str">
        <f t="shared" ca="1" si="21"/>
        <v/>
      </c>
      <c r="AE326" s="72" t="str">
        <f t="shared" ca="1" si="22"/>
        <v/>
      </c>
      <c r="AF326" s="73"/>
      <c r="AG326" s="70"/>
      <c r="AH326" s="70"/>
      <c r="AI326" s="74" t="str">
        <f t="shared" si="23"/>
        <v/>
      </c>
      <c r="AJ326" s="75" t="str">
        <f t="shared" ca="1" si="24"/>
        <v/>
      </c>
      <c r="AK326" s="71"/>
      <c r="AL326" s="70"/>
      <c r="AM326" s="71"/>
      <c r="AN326" s="70"/>
    </row>
    <row r="327" spans="6:40" s="59" customFormat="1" x14ac:dyDescent="0.35">
      <c r="F327" s="65"/>
      <c r="J327" s="67"/>
      <c r="M327" s="68"/>
      <c r="W327" s="20" t="str">
        <f t="shared" ref="W327:W390" si="25">IFERROR(VLOOKUP($V327,$AU$5:$AV$13,2,0),"")</f>
        <v/>
      </c>
      <c r="AA327" s="70"/>
      <c r="AB327" s="71"/>
      <c r="AC327" s="71"/>
      <c r="AD327" s="72" t="str">
        <f t="shared" ref="AD327:AD390" ca="1" si="26">IF($U327="Closed","",(IF($AC327=0,"",(IF(OR($AI327="",$AI327="Enter the date"),NETWORKDAYS($AC327,TODAY()),NETWORKDAYS($AC327,$AI327))))))</f>
        <v/>
      </c>
      <c r="AE327" s="72" t="str">
        <f t="shared" ref="AE327:AE390" ca="1" si="27">IF(AND($U327="Open",OR($AI327="",$AI327="Enter the date")),$AD327,IFERROR($AD327+$AJ327,""))</f>
        <v/>
      </c>
      <c r="AF327" s="73"/>
      <c r="AG327" s="70"/>
      <c r="AH327" s="70"/>
      <c r="AI327" s="74" t="str">
        <f t="shared" ref="AI327:AI390" si="28">IF($AC327="","",(IF($AH327=0,IF($AG327=0,IF($AF327=0,"Enter the date",$AF327),$AG327),$AH327)))</f>
        <v/>
      </c>
      <c r="AJ327" s="75" t="str">
        <f t="shared" ref="AJ327:AJ390" ca="1" si="29">IF($U327="Closed","",IF(AI327="","",(IF($AI327="Enter The date","",(NETWORKDAYS($AI327,TODAY()))-1))))</f>
        <v/>
      </c>
      <c r="AK327" s="71"/>
      <c r="AL327" s="70"/>
      <c r="AM327" s="71"/>
      <c r="AN327" s="70"/>
    </row>
    <row r="328" spans="6:40" s="59" customFormat="1" x14ac:dyDescent="0.35">
      <c r="F328" s="65"/>
      <c r="J328" s="67"/>
      <c r="M328" s="68"/>
      <c r="W328" s="20" t="str">
        <f t="shared" si="25"/>
        <v/>
      </c>
      <c r="AA328" s="70"/>
      <c r="AB328" s="71"/>
      <c r="AC328" s="71"/>
      <c r="AD328" s="72" t="str">
        <f t="shared" ca="1" si="26"/>
        <v/>
      </c>
      <c r="AE328" s="72" t="str">
        <f t="shared" ca="1" si="27"/>
        <v/>
      </c>
      <c r="AF328" s="73"/>
      <c r="AG328" s="70"/>
      <c r="AH328" s="70"/>
      <c r="AI328" s="74" t="str">
        <f t="shared" si="28"/>
        <v/>
      </c>
      <c r="AJ328" s="75" t="str">
        <f t="shared" ca="1" si="29"/>
        <v/>
      </c>
      <c r="AK328" s="71"/>
      <c r="AL328" s="70"/>
      <c r="AM328" s="71"/>
      <c r="AN328" s="70"/>
    </row>
    <row r="329" spans="6:40" s="59" customFormat="1" x14ac:dyDescent="0.35">
      <c r="F329" s="65"/>
      <c r="J329" s="67"/>
      <c r="M329" s="68"/>
      <c r="W329" s="20" t="str">
        <f t="shared" si="25"/>
        <v/>
      </c>
      <c r="AA329" s="70"/>
      <c r="AB329" s="71"/>
      <c r="AC329" s="71"/>
      <c r="AD329" s="72" t="str">
        <f t="shared" ca="1" si="26"/>
        <v/>
      </c>
      <c r="AE329" s="72" t="str">
        <f t="shared" ca="1" si="27"/>
        <v/>
      </c>
      <c r="AF329" s="73"/>
      <c r="AG329" s="70"/>
      <c r="AH329" s="70"/>
      <c r="AI329" s="74" t="str">
        <f t="shared" si="28"/>
        <v/>
      </c>
      <c r="AJ329" s="75" t="str">
        <f t="shared" ca="1" si="29"/>
        <v/>
      </c>
      <c r="AK329" s="71"/>
      <c r="AL329" s="70"/>
      <c r="AM329" s="71"/>
      <c r="AN329" s="70"/>
    </row>
    <row r="330" spans="6:40" s="59" customFormat="1" x14ac:dyDescent="0.35">
      <c r="F330" s="65"/>
      <c r="J330" s="67"/>
      <c r="M330" s="68"/>
      <c r="W330" s="20" t="str">
        <f t="shared" si="25"/>
        <v/>
      </c>
      <c r="AA330" s="70"/>
      <c r="AB330" s="71"/>
      <c r="AC330" s="71"/>
      <c r="AD330" s="72" t="str">
        <f t="shared" ca="1" si="26"/>
        <v/>
      </c>
      <c r="AE330" s="72" t="str">
        <f t="shared" ca="1" si="27"/>
        <v/>
      </c>
      <c r="AF330" s="73"/>
      <c r="AG330" s="70"/>
      <c r="AH330" s="70"/>
      <c r="AI330" s="74" t="str">
        <f t="shared" si="28"/>
        <v/>
      </c>
      <c r="AJ330" s="75" t="str">
        <f t="shared" ca="1" si="29"/>
        <v/>
      </c>
      <c r="AK330" s="71"/>
      <c r="AL330" s="70"/>
      <c r="AM330" s="71"/>
      <c r="AN330" s="70"/>
    </row>
    <row r="331" spans="6:40" s="59" customFormat="1" x14ac:dyDescent="0.35">
      <c r="F331" s="65"/>
      <c r="J331" s="67"/>
      <c r="M331" s="68"/>
      <c r="W331" s="20" t="str">
        <f t="shared" si="25"/>
        <v/>
      </c>
      <c r="AA331" s="70"/>
      <c r="AB331" s="71"/>
      <c r="AC331" s="71"/>
      <c r="AD331" s="72" t="str">
        <f t="shared" ca="1" si="26"/>
        <v/>
      </c>
      <c r="AE331" s="72" t="str">
        <f t="shared" ca="1" si="27"/>
        <v/>
      </c>
      <c r="AF331" s="73"/>
      <c r="AG331" s="70"/>
      <c r="AH331" s="70"/>
      <c r="AI331" s="74" t="str">
        <f t="shared" si="28"/>
        <v/>
      </c>
      <c r="AJ331" s="75" t="str">
        <f t="shared" ca="1" si="29"/>
        <v/>
      </c>
      <c r="AK331" s="71"/>
      <c r="AL331" s="70"/>
      <c r="AM331" s="71"/>
      <c r="AN331" s="70"/>
    </row>
    <row r="332" spans="6:40" s="59" customFormat="1" x14ac:dyDescent="0.35">
      <c r="F332" s="65"/>
      <c r="J332" s="67"/>
      <c r="M332" s="68"/>
      <c r="W332" s="20" t="str">
        <f t="shared" si="25"/>
        <v/>
      </c>
      <c r="AA332" s="70"/>
      <c r="AB332" s="71"/>
      <c r="AC332" s="71"/>
      <c r="AD332" s="72" t="str">
        <f t="shared" ca="1" si="26"/>
        <v/>
      </c>
      <c r="AE332" s="72" t="str">
        <f t="shared" ca="1" si="27"/>
        <v/>
      </c>
      <c r="AF332" s="73"/>
      <c r="AG332" s="70"/>
      <c r="AH332" s="70"/>
      <c r="AI332" s="74" t="str">
        <f t="shared" si="28"/>
        <v/>
      </c>
      <c r="AJ332" s="75" t="str">
        <f t="shared" ca="1" si="29"/>
        <v/>
      </c>
      <c r="AK332" s="71"/>
      <c r="AL332" s="70"/>
      <c r="AM332" s="71"/>
      <c r="AN332" s="70"/>
    </row>
    <row r="333" spans="6:40" s="59" customFormat="1" x14ac:dyDescent="0.35">
      <c r="F333" s="65"/>
      <c r="J333" s="67"/>
      <c r="M333" s="68"/>
      <c r="W333" s="20" t="str">
        <f t="shared" si="25"/>
        <v/>
      </c>
      <c r="AA333" s="70"/>
      <c r="AB333" s="71"/>
      <c r="AC333" s="71"/>
      <c r="AD333" s="72" t="str">
        <f t="shared" ca="1" si="26"/>
        <v/>
      </c>
      <c r="AE333" s="72" t="str">
        <f t="shared" ca="1" si="27"/>
        <v/>
      </c>
      <c r="AF333" s="73"/>
      <c r="AG333" s="70"/>
      <c r="AH333" s="70"/>
      <c r="AI333" s="74" t="str">
        <f t="shared" si="28"/>
        <v/>
      </c>
      <c r="AJ333" s="75" t="str">
        <f t="shared" ca="1" si="29"/>
        <v/>
      </c>
      <c r="AK333" s="71"/>
      <c r="AL333" s="70"/>
      <c r="AM333" s="71"/>
      <c r="AN333" s="70"/>
    </row>
    <row r="334" spans="6:40" s="59" customFormat="1" x14ac:dyDescent="0.35">
      <c r="F334" s="65"/>
      <c r="J334" s="67"/>
      <c r="M334" s="68"/>
      <c r="W334" s="20" t="str">
        <f t="shared" si="25"/>
        <v/>
      </c>
      <c r="AA334" s="70"/>
      <c r="AB334" s="71"/>
      <c r="AC334" s="71"/>
      <c r="AD334" s="72" t="str">
        <f t="shared" ca="1" si="26"/>
        <v/>
      </c>
      <c r="AE334" s="72" t="str">
        <f t="shared" ca="1" si="27"/>
        <v/>
      </c>
      <c r="AF334" s="73"/>
      <c r="AG334" s="70"/>
      <c r="AH334" s="70"/>
      <c r="AI334" s="74" t="str">
        <f t="shared" si="28"/>
        <v/>
      </c>
      <c r="AJ334" s="75" t="str">
        <f t="shared" ca="1" si="29"/>
        <v/>
      </c>
      <c r="AK334" s="71"/>
      <c r="AL334" s="70"/>
      <c r="AM334" s="71"/>
      <c r="AN334" s="70"/>
    </row>
    <row r="335" spans="6:40" s="59" customFormat="1" x14ac:dyDescent="0.35">
      <c r="F335" s="65"/>
      <c r="J335" s="67"/>
      <c r="M335" s="68"/>
      <c r="W335" s="20" t="str">
        <f t="shared" si="25"/>
        <v/>
      </c>
      <c r="AA335" s="70"/>
      <c r="AB335" s="71"/>
      <c r="AC335" s="71"/>
      <c r="AD335" s="72" t="str">
        <f t="shared" ca="1" si="26"/>
        <v/>
      </c>
      <c r="AE335" s="72" t="str">
        <f t="shared" ca="1" si="27"/>
        <v/>
      </c>
      <c r="AF335" s="73"/>
      <c r="AG335" s="70"/>
      <c r="AH335" s="70"/>
      <c r="AI335" s="74" t="str">
        <f t="shared" si="28"/>
        <v/>
      </c>
      <c r="AJ335" s="75" t="str">
        <f t="shared" ca="1" si="29"/>
        <v/>
      </c>
      <c r="AK335" s="71"/>
      <c r="AL335" s="70"/>
      <c r="AM335" s="71"/>
      <c r="AN335" s="70"/>
    </row>
    <row r="336" spans="6:40" s="59" customFormat="1" x14ac:dyDescent="0.35">
      <c r="F336" s="65"/>
      <c r="J336" s="67"/>
      <c r="M336" s="68"/>
      <c r="W336" s="20" t="str">
        <f t="shared" si="25"/>
        <v/>
      </c>
      <c r="AA336" s="70"/>
      <c r="AB336" s="71"/>
      <c r="AC336" s="71"/>
      <c r="AD336" s="72" t="str">
        <f t="shared" ca="1" si="26"/>
        <v/>
      </c>
      <c r="AE336" s="72" t="str">
        <f t="shared" ca="1" si="27"/>
        <v/>
      </c>
      <c r="AF336" s="73"/>
      <c r="AG336" s="70"/>
      <c r="AH336" s="70"/>
      <c r="AI336" s="74" t="str">
        <f t="shared" si="28"/>
        <v/>
      </c>
      <c r="AJ336" s="75" t="str">
        <f t="shared" ca="1" si="29"/>
        <v/>
      </c>
      <c r="AK336" s="71"/>
      <c r="AL336" s="70"/>
      <c r="AM336" s="71"/>
      <c r="AN336" s="70"/>
    </row>
    <row r="337" spans="6:40" s="59" customFormat="1" x14ac:dyDescent="0.35">
      <c r="F337" s="65"/>
      <c r="J337" s="67"/>
      <c r="M337" s="68"/>
      <c r="W337" s="20" t="str">
        <f t="shared" si="25"/>
        <v/>
      </c>
      <c r="AA337" s="70"/>
      <c r="AB337" s="71"/>
      <c r="AC337" s="71"/>
      <c r="AD337" s="72" t="str">
        <f t="shared" ca="1" si="26"/>
        <v/>
      </c>
      <c r="AE337" s="72" t="str">
        <f t="shared" ca="1" si="27"/>
        <v/>
      </c>
      <c r="AF337" s="73"/>
      <c r="AG337" s="70"/>
      <c r="AH337" s="70"/>
      <c r="AI337" s="74" t="str">
        <f t="shared" si="28"/>
        <v/>
      </c>
      <c r="AJ337" s="75" t="str">
        <f t="shared" ca="1" si="29"/>
        <v/>
      </c>
      <c r="AK337" s="71"/>
      <c r="AL337" s="70"/>
      <c r="AM337" s="71"/>
      <c r="AN337" s="70"/>
    </row>
    <row r="338" spans="6:40" s="59" customFormat="1" x14ac:dyDescent="0.35">
      <c r="F338" s="65"/>
      <c r="J338" s="67"/>
      <c r="M338" s="68"/>
      <c r="W338" s="20" t="str">
        <f t="shared" si="25"/>
        <v/>
      </c>
      <c r="AA338" s="70"/>
      <c r="AB338" s="71"/>
      <c r="AC338" s="71"/>
      <c r="AD338" s="72" t="str">
        <f t="shared" ca="1" si="26"/>
        <v/>
      </c>
      <c r="AE338" s="72" t="str">
        <f t="shared" ca="1" si="27"/>
        <v/>
      </c>
      <c r="AF338" s="73"/>
      <c r="AG338" s="70"/>
      <c r="AH338" s="70"/>
      <c r="AI338" s="74" t="str">
        <f t="shared" si="28"/>
        <v/>
      </c>
      <c r="AJ338" s="75" t="str">
        <f t="shared" ca="1" si="29"/>
        <v/>
      </c>
      <c r="AK338" s="71"/>
      <c r="AL338" s="70"/>
      <c r="AM338" s="71"/>
      <c r="AN338" s="70"/>
    </row>
    <row r="339" spans="6:40" s="59" customFormat="1" x14ac:dyDescent="0.35">
      <c r="F339" s="65"/>
      <c r="J339" s="67"/>
      <c r="M339" s="68"/>
      <c r="W339" s="20" t="str">
        <f t="shared" si="25"/>
        <v/>
      </c>
      <c r="AA339" s="70"/>
      <c r="AB339" s="71"/>
      <c r="AC339" s="71"/>
      <c r="AD339" s="72" t="str">
        <f t="shared" ca="1" si="26"/>
        <v/>
      </c>
      <c r="AE339" s="72" t="str">
        <f t="shared" ca="1" si="27"/>
        <v/>
      </c>
      <c r="AF339" s="73"/>
      <c r="AG339" s="70"/>
      <c r="AH339" s="70"/>
      <c r="AI339" s="74" t="str">
        <f t="shared" si="28"/>
        <v/>
      </c>
      <c r="AJ339" s="75" t="str">
        <f t="shared" ca="1" si="29"/>
        <v/>
      </c>
      <c r="AK339" s="71"/>
      <c r="AL339" s="70"/>
      <c r="AM339" s="71"/>
      <c r="AN339" s="70"/>
    </row>
    <row r="340" spans="6:40" s="59" customFormat="1" x14ac:dyDescent="0.35">
      <c r="F340" s="65"/>
      <c r="J340" s="67"/>
      <c r="M340" s="68"/>
      <c r="W340" s="20" t="str">
        <f t="shared" si="25"/>
        <v/>
      </c>
      <c r="AA340" s="70"/>
      <c r="AB340" s="71"/>
      <c r="AC340" s="71"/>
      <c r="AD340" s="72" t="str">
        <f t="shared" ca="1" si="26"/>
        <v/>
      </c>
      <c r="AE340" s="72" t="str">
        <f t="shared" ca="1" si="27"/>
        <v/>
      </c>
      <c r="AF340" s="73"/>
      <c r="AG340" s="70"/>
      <c r="AH340" s="70"/>
      <c r="AI340" s="74" t="str">
        <f t="shared" si="28"/>
        <v/>
      </c>
      <c r="AJ340" s="75" t="str">
        <f t="shared" ca="1" si="29"/>
        <v/>
      </c>
      <c r="AK340" s="71"/>
      <c r="AL340" s="70"/>
      <c r="AM340" s="71"/>
      <c r="AN340" s="70"/>
    </row>
    <row r="341" spans="6:40" s="59" customFormat="1" x14ac:dyDescent="0.35">
      <c r="F341" s="65"/>
      <c r="J341" s="67"/>
      <c r="M341" s="68"/>
      <c r="W341" s="20" t="str">
        <f t="shared" si="25"/>
        <v/>
      </c>
      <c r="AA341" s="70"/>
      <c r="AB341" s="71"/>
      <c r="AC341" s="71"/>
      <c r="AD341" s="72" t="str">
        <f t="shared" ca="1" si="26"/>
        <v/>
      </c>
      <c r="AE341" s="72" t="str">
        <f t="shared" ca="1" si="27"/>
        <v/>
      </c>
      <c r="AF341" s="73"/>
      <c r="AG341" s="70"/>
      <c r="AH341" s="70"/>
      <c r="AI341" s="74" t="str">
        <f t="shared" si="28"/>
        <v/>
      </c>
      <c r="AJ341" s="75" t="str">
        <f t="shared" ca="1" si="29"/>
        <v/>
      </c>
      <c r="AK341" s="71"/>
      <c r="AL341" s="70"/>
      <c r="AM341" s="71"/>
      <c r="AN341" s="70"/>
    </row>
    <row r="342" spans="6:40" s="59" customFormat="1" x14ac:dyDescent="0.35">
      <c r="F342" s="65"/>
      <c r="J342" s="67"/>
      <c r="M342" s="68"/>
      <c r="W342" s="20" t="str">
        <f t="shared" si="25"/>
        <v/>
      </c>
      <c r="AA342" s="70"/>
      <c r="AB342" s="71"/>
      <c r="AC342" s="71"/>
      <c r="AD342" s="72" t="str">
        <f t="shared" ca="1" si="26"/>
        <v/>
      </c>
      <c r="AE342" s="72" t="str">
        <f t="shared" ca="1" si="27"/>
        <v/>
      </c>
      <c r="AF342" s="73"/>
      <c r="AG342" s="70"/>
      <c r="AH342" s="70"/>
      <c r="AI342" s="74" t="str">
        <f t="shared" si="28"/>
        <v/>
      </c>
      <c r="AJ342" s="75" t="str">
        <f t="shared" ca="1" si="29"/>
        <v/>
      </c>
      <c r="AK342" s="71"/>
      <c r="AL342" s="70"/>
      <c r="AM342" s="71"/>
      <c r="AN342" s="70"/>
    </row>
    <row r="343" spans="6:40" s="59" customFormat="1" x14ac:dyDescent="0.35">
      <c r="F343" s="65"/>
      <c r="J343" s="67"/>
      <c r="M343" s="68"/>
      <c r="W343" s="20" t="str">
        <f t="shared" si="25"/>
        <v/>
      </c>
      <c r="AA343" s="70"/>
      <c r="AB343" s="71"/>
      <c r="AC343" s="71"/>
      <c r="AD343" s="72" t="str">
        <f t="shared" ca="1" si="26"/>
        <v/>
      </c>
      <c r="AE343" s="72" t="str">
        <f t="shared" ca="1" si="27"/>
        <v/>
      </c>
      <c r="AF343" s="73"/>
      <c r="AG343" s="70"/>
      <c r="AH343" s="70"/>
      <c r="AI343" s="74" t="str">
        <f t="shared" si="28"/>
        <v/>
      </c>
      <c r="AJ343" s="75" t="str">
        <f t="shared" ca="1" si="29"/>
        <v/>
      </c>
      <c r="AK343" s="71"/>
      <c r="AL343" s="70"/>
      <c r="AM343" s="71"/>
      <c r="AN343" s="70"/>
    </row>
    <row r="344" spans="6:40" s="59" customFormat="1" x14ac:dyDescent="0.35">
      <c r="F344" s="65"/>
      <c r="J344" s="67"/>
      <c r="M344" s="68"/>
      <c r="W344" s="20" t="str">
        <f t="shared" si="25"/>
        <v/>
      </c>
      <c r="AA344" s="70"/>
      <c r="AB344" s="71"/>
      <c r="AC344" s="71"/>
      <c r="AD344" s="72" t="str">
        <f t="shared" ca="1" si="26"/>
        <v/>
      </c>
      <c r="AE344" s="72" t="str">
        <f t="shared" ca="1" si="27"/>
        <v/>
      </c>
      <c r="AF344" s="73"/>
      <c r="AG344" s="70"/>
      <c r="AH344" s="70"/>
      <c r="AI344" s="74" t="str">
        <f t="shared" si="28"/>
        <v/>
      </c>
      <c r="AJ344" s="75" t="str">
        <f t="shared" ca="1" si="29"/>
        <v/>
      </c>
      <c r="AK344" s="71"/>
      <c r="AL344" s="70"/>
      <c r="AM344" s="71"/>
      <c r="AN344" s="70"/>
    </row>
    <row r="345" spans="6:40" s="59" customFormat="1" x14ac:dyDescent="0.35">
      <c r="F345" s="65"/>
      <c r="J345" s="67"/>
      <c r="M345" s="68"/>
      <c r="W345" s="20" t="str">
        <f t="shared" si="25"/>
        <v/>
      </c>
      <c r="AA345" s="70"/>
      <c r="AB345" s="71"/>
      <c r="AC345" s="71"/>
      <c r="AD345" s="72" t="str">
        <f t="shared" ca="1" si="26"/>
        <v/>
      </c>
      <c r="AE345" s="72" t="str">
        <f t="shared" ca="1" si="27"/>
        <v/>
      </c>
      <c r="AF345" s="73"/>
      <c r="AG345" s="70"/>
      <c r="AH345" s="70"/>
      <c r="AI345" s="74" t="str">
        <f t="shared" si="28"/>
        <v/>
      </c>
      <c r="AJ345" s="75" t="str">
        <f t="shared" ca="1" si="29"/>
        <v/>
      </c>
      <c r="AK345" s="71"/>
      <c r="AL345" s="70"/>
      <c r="AM345" s="71"/>
      <c r="AN345" s="70"/>
    </row>
    <row r="346" spans="6:40" s="59" customFormat="1" x14ac:dyDescent="0.35">
      <c r="F346" s="65"/>
      <c r="J346" s="67"/>
      <c r="M346" s="68"/>
      <c r="W346" s="20" t="str">
        <f t="shared" si="25"/>
        <v/>
      </c>
      <c r="AA346" s="70"/>
      <c r="AB346" s="71"/>
      <c r="AC346" s="71"/>
      <c r="AD346" s="72" t="str">
        <f t="shared" ca="1" si="26"/>
        <v/>
      </c>
      <c r="AE346" s="72" t="str">
        <f t="shared" ca="1" si="27"/>
        <v/>
      </c>
      <c r="AF346" s="73"/>
      <c r="AG346" s="70"/>
      <c r="AH346" s="70"/>
      <c r="AI346" s="74" t="str">
        <f t="shared" si="28"/>
        <v/>
      </c>
      <c r="AJ346" s="75" t="str">
        <f t="shared" ca="1" si="29"/>
        <v/>
      </c>
      <c r="AK346" s="71"/>
      <c r="AL346" s="70"/>
      <c r="AM346" s="71"/>
      <c r="AN346" s="70"/>
    </row>
    <row r="347" spans="6:40" s="59" customFormat="1" x14ac:dyDescent="0.35">
      <c r="F347" s="65"/>
      <c r="J347" s="67"/>
      <c r="M347" s="68"/>
      <c r="W347" s="20" t="str">
        <f t="shared" si="25"/>
        <v/>
      </c>
      <c r="AA347" s="70"/>
      <c r="AB347" s="71"/>
      <c r="AC347" s="71"/>
      <c r="AD347" s="72" t="str">
        <f t="shared" ca="1" si="26"/>
        <v/>
      </c>
      <c r="AE347" s="72" t="str">
        <f t="shared" ca="1" si="27"/>
        <v/>
      </c>
      <c r="AF347" s="73"/>
      <c r="AG347" s="70"/>
      <c r="AH347" s="70"/>
      <c r="AI347" s="74" t="str">
        <f t="shared" si="28"/>
        <v/>
      </c>
      <c r="AJ347" s="75" t="str">
        <f t="shared" ca="1" si="29"/>
        <v/>
      </c>
      <c r="AK347" s="71"/>
      <c r="AL347" s="70"/>
      <c r="AM347" s="71"/>
      <c r="AN347" s="70"/>
    </row>
    <row r="348" spans="6:40" s="59" customFormat="1" x14ac:dyDescent="0.35">
      <c r="F348" s="65"/>
      <c r="J348" s="67"/>
      <c r="M348" s="68"/>
      <c r="W348" s="20" t="str">
        <f t="shared" si="25"/>
        <v/>
      </c>
      <c r="AA348" s="70"/>
      <c r="AB348" s="71"/>
      <c r="AC348" s="71"/>
      <c r="AD348" s="72" t="str">
        <f t="shared" ca="1" si="26"/>
        <v/>
      </c>
      <c r="AE348" s="72" t="str">
        <f t="shared" ca="1" si="27"/>
        <v/>
      </c>
      <c r="AF348" s="73"/>
      <c r="AG348" s="70"/>
      <c r="AH348" s="70"/>
      <c r="AI348" s="74" t="str">
        <f t="shared" si="28"/>
        <v/>
      </c>
      <c r="AJ348" s="75" t="str">
        <f t="shared" ca="1" si="29"/>
        <v/>
      </c>
      <c r="AK348" s="71"/>
      <c r="AL348" s="70"/>
      <c r="AM348" s="71"/>
      <c r="AN348" s="70"/>
    </row>
    <row r="349" spans="6:40" s="59" customFormat="1" x14ac:dyDescent="0.35">
      <c r="F349" s="65"/>
      <c r="J349" s="67"/>
      <c r="M349" s="68"/>
      <c r="W349" s="20" t="str">
        <f t="shared" si="25"/>
        <v/>
      </c>
      <c r="AA349" s="70"/>
      <c r="AB349" s="71"/>
      <c r="AC349" s="71"/>
      <c r="AD349" s="72" t="str">
        <f t="shared" ca="1" si="26"/>
        <v/>
      </c>
      <c r="AE349" s="72" t="str">
        <f t="shared" ca="1" si="27"/>
        <v/>
      </c>
      <c r="AF349" s="73"/>
      <c r="AG349" s="70"/>
      <c r="AH349" s="70"/>
      <c r="AI349" s="74" t="str">
        <f t="shared" si="28"/>
        <v/>
      </c>
      <c r="AJ349" s="75" t="str">
        <f t="shared" ca="1" si="29"/>
        <v/>
      </c>
      <c r="AK349" s="71"/>
      <c r="AL349" s="70"/>
      <c r="AM349" s="71"/>
      <c r="AN349" s="70"/>
    </row>
    <row r="350" spans="6:40" s="59" customFormat="1" x14ac:dyDescent="0.35">
      <c r="F350" s="65"/>
      <c r="J350" s="67"/>
      <c r="M350" s="68"/>
      <c r="W350" s="20" t="str">
        <f t="shared" si="25"/>
        <v/>
      </c>
      <c r="AA350" s="70"/>
      <c r="AB350" s="71"/>
      <c r="AC350" s="71"/>
      <c r="AD350" s="72" t="str">
        <f t="shared" ca="1" si="26"/>
        <v/>
      </c>
      <c r="AE350" s="72" t="str">
        <f t="shared" ca="1" si="27"/>
        <v/>
      </c>
      <c r="AF350" s="73"/>
      <c r="AG350" s="70"/>
      <c r="AH350" s="70"/>
      <c r="AI350" s="74" t="str">
        <f t="shared" si="28"/>
        <v/>
      </c>
      <c r="AJ350" s="75" t="str">
        <f t="shared" ca="1" si="29"/>
        <v/>
      </c>
      <c r="AK350" s="71"/>
      <c r="AL350" s="70"/>
      <c r="AM350" s="71"/>
      <c r="AN350" s="70"/>
    </row>
    <row r="351" spans="6:40" s="59" customFormat="1" x14ac:dyDescent="0.35">
      <c r="F351" s="65"/>
      <c r="J351" s="67"/>
      <c r="M351" s="68"/>
      <c r="W351" s="20" t="str">
        <f t="shared" si="25"/>
        <v/>
      </c>
      <c r="AA351" s="70"/>
      <c r="AB351" s="71"/>
      <c r="AC351" s="71"/>
      <c r="AD351" s="72" t="str">
        <f t="shared" ca="1" si="26"/>
        <v/>
      </c>
      <c r="AE351" s="72" t="str">
        <f t="shared" ca="1" si="27"/>
        <v/>
      </c>
      <c r="AF351" s="73"/>
      <c r="AG351" s="70"/>
      <c r="AH351" s="70"/>
      <c r="AI351" s="74" t="str">
        <f t="shared" si="28"/>
        <v/>
      </c>
      <c r="AJ351" s="75" t="str">
        <f t="shared" ca="1" si="29"/>
        <v/>
      </c>
      <c r="AK351" s="71"/>
      <c r="AL351" s="70"/>
      <c r="AM351" s="71"/>
      <c r="AN351" s="70"/>
    </row>
    <row r="352" spans="6:40" s="59" customFormat="1" x14ac:dyDescent="0.35">
      <c r="F352" s="65"/>
      <c r="J352" s="67"/>
      <c r="M352" s="68"/>
      <c r="W352" s="20" t="str">
        <f t="shared" si="25"/>
        <v/>
      </c>
      <c r="AA352" s="70"/>
      <c r="AB352" s="71"/>
      <c r="AC352" s="71"/>
      <c r="AD352" s="72" t="str">
        <f t="shared" ca="1" si="26"/>
        <v/>
      </c>
      <c r="AE352" s="72" t="str">
        <f t="shared" ca="1" si="27"/>
        <v/>
      </c>
      <c r="AF352" s="73"/>
      <c r="AG352" s="70"/>
      <c r="AH352" s="70"/>
      <c r="AI352" s="74" t="str">
        <f t="shared" si="28"/>
        <v/>
      </c>
      <c r="AJ352" s="75" t="str">
        <f t="shared" ca="1" si="29"/>
        <v/>
      </c>
      <c r="AK352" s="71"/>
      <c r="AL352" s="70"/>
      <c r="AM352" s="71"/>
      <c r="AN352" s="70"/>
    </row>
    <row r="353" spans="6:40" s="59" customFormat="1" x14ac:dyDescent="0.35">
      <c r="F353" s="65"/>
      <c r="J353" s="67"/>
      <c r="M353" s="68"/>
      <c r="W353" s="20" t="str">
        <f t="shared" si="25"/>
        <v/>
      </c>
      <c r="AA353" s="70"/>
      <c r="AB353" s="71"/>
      <c r="AC353" s="71"/>
      <c r="AD353" s="72" t="str">
        <f t="shared" ca="1" si="26"/>
        <v/>
      </c>
      <c r="AE353" s="72" t="str">
        <f t="shared" ca="1" si="27"/>
        <v/>
      </c>
      <c r="AF353" s="73"/>
      <c r="AG353" s="70"/>
      <c r="AH353" s="70"/>
      <c r="AI353" s="74" t="str">
        <f t="shared" si="28"/>
        <v/>
      </c>
      <c r="AJ353" s="75" t="str">
        <f t="shared" ca="1" si="29"/>
        <v/>
      </c>
      <c r="AK353" s="71"/>
      <c r="AL353" s="70"/>
      <c r="AM353" s="71"/>
      <c r="AN353" s="70"/>
    </row>
    <row r="354" spans="6:40" s="59" customFormat="1" x14ac:dyDescent="0.35">
      <c r="F354" s="65"/>
      <c r="J354" s="67"/>
      <c r="M354" s="68"/>
      <c r="W354" s="20" t="str">
        <f t="shared" si="25"/>
        <v/>
      </c>
      <c r="AA354" s="70"/>
      <c r="AB354" s="71"/>
      <c r="AC354" s="71"/>
      <c r="AD354" s="72" t="str">
        <f t="shared" ca="1" si="26"/>
        <v/>
      </c>
      <c r="AE354" s="72" t="str">
        <f t="shared" ca="1" si="27"/>
        <v/>
      </c>
      <c r="AF354" s="73"/>
      <c r="AG354" s="70"/>
      <c r="AH354" s="70"/>
      <c r="AI354" s="74" t="str">
        <f t="shared" si="28"/>
        <v/>
      </c>
      <c r="AJ354" s="75" t="str">
        <f t="shared" ca="1" si="29"/>
        <v/>
      </c>
      <c r="AK354" s="71"/>
      <c r="AL354" s="70"/>
      <c r="AM354" s="71"/>
      <c r="AN354" s="70"/>
    </row>
    <row r="355" spans="6:40" s="59" customFormat="1" x14ac:dyDescent="0.35">
      <c r="F355" s="65"/>
      <c r="J355" s="67"/>
      <c r="M355" s="68"/>
      <c r="W355" s="20" t="str">
        <f t="shared" si="25"/>
        <v/>
      </c>
      <c r="AA355" s="70"/>
      <c r="AB355" s="71"/>
      <c r="AC355" s="71"/>
      <c r="AD355" s="72" t="str">
        <f t="shared" ca="1" si="26"/>
        <v/>
      </c>
      <c r="AE355" s="72" t="str">
        <f t="shared" ca="1" si="27"/>
        <v/>
      </c>
      <c r="AF355" s="73"/>
      <c r="AG355" s="70"/>
      <c r="AH355" s="70"/>
      <c r="AI355" s="74" t="str">
        <f t="shared" si="28"/>
        <v/>
      </c>
      <c r="AJ355" s="75" t="str">
        <f t="shared" ca="1" si="29"/>
        <v/>
      </c>
      <c r="AK355" s="71"/>
      <c r="AL355" s="70"/>
      <c r="AM355" s="71"/>
      <c r="AN355" s="70"/>
    </row>
    <row r="356" spans="6:40" s="59" customFormat="1" x14ac:dyDescent="0.35">
      <c r="F356" s="65"/>
      <c r="J356" s="67"/>
      <c r="M356" s="68"/>
      <c r="W356" s="20" t="str">
        <f t="shared" si="25"/>
        <v/>
      </c>
      <c r="AA356" s="70"/>
      <c r="AB356" s="71"/>
      <c r="AC356" s="71"/>
      <c r="AD356" s="72" t="str">
        <f t="shared" ca="1" si="26"/>
        <v/>
      </c>
      <c r="AE356" s="72" t="str">
        <f t="shared" ca="1" si="27"/>
        <v/>
      </c>
      <c r="AF356" s="73"/>
      <c r="AG356" s="70"/>
      <c r="AH356" s="70"/>
      <c r="AI356" s="74" t="str">
        <f t="shared" si="28"/>
        <v/>
      </c>
      <c r="AJ356" s="75" t="str">
        <f t="shared" ca="1" si="29"/>
        <v/>
      </c>
      <c r="AK356" s="71"/>
      <c r="AL356" s="70"/>
      <c r="AM356" s="71"/>
      <c r="AN356" s="70"/>
    </row>
    <row r="357" spans="6:40" s="59" customFormat="1" x14ac:dyDescent="0.35">
      <c r="F357" s="65"/>
      <c r="J357" s="67"/>
      <c r="M357" s="68"/>
      <c r="W357" s="20" t="str">
        <f t="shared" si="25"/>
        <v/>
      </c>
      <c r="AA357" s="70"/>
      <c r="AB357" s="71"/>
      <c r="AC357" s="71"/>
      <c r="AD357" s="72" t="str">
        <f t="shared" ca="1" si="26"/>
        <v/>
      </c>
      <c r="AE357" s="72" t="str">
        <f t="shared" ca="1" si="27"/>
        <v/>
      </c>
      <c r="AF357" s="73"/>
      <c r="AG357" s="70"/>
      <c r="AH357" s="70"/>
      <c r="AI357" s="74" t="str">
        <f t="shared" si="28"/>
        <v/>
      </c>
      <c r="AJ357" s="75" t="str">
        <f t="shared" ca="1" si="29"/>
        <v/>
      </c>
      <c r="AK357" s="71"/>
      <c r="AL357" s="70"/>
      <c r="AM357" s="71"/>
      <c r="AN357" s="70"/>
    </row>
    <row r="358" spans="6:40" s="59" customFormat="1" x14ac:dyDescent="0.35">
      <c r="F358" s="65"/>
      <c r="J358" s="67"/>
      <c r="M358" s="68"/>
      <c r="W358" s="20" t="str">
        <f t="shared" si="25"/>
        <v/>
      </c>
      <c r="AA358" s="70"/>
      <c r="AB358" s="71"/>
      <c r="AC358" s="71"/>
      <c r="AD358" s="72" t="str">
        <f t="shared" ca="1" si="26"/>
        <v/>
      </c>
      <c r="AE358" s="72" t="str">
        <f t="shared" ca="1" si="27"/>
        <v/>
      </c>
      <c r="AF358" s="73"/>
      <c r="AG358" s="70"/>
      <c r="AH358" s="70"/>
      <c r="AI358" s="74" t="str">
        <f t="shared" si="28"/>
        <v/>
      </c>
      <c r="AJ358" s="75" t="str">
        <f t="shared" ca="1" si="29"/>
        <v/>
      </c>
      <c r="AK358" s="71"/>
      <c r="AL358" s="70"/>
      <c r="AM358" s="71"/>
      <c r="AN358" s="70"/>
    </row>
    <row r="359" spans="6:40" s="59" customFormat="1" x14ac:dyDescent="0.35">
      <c r="F359" s="65"/>
      <c r="J359" s="67"/>
      <c r="M359" s="68"/>
      <c r="W359" s="20" t="str">
        <f t="shared" si="25"/>
        <v/>
      </c>
      <c r="AA359" s="70"/>
      <c r="AB359" s="71"/>
      <c r="AC359" s="71"/>
      <c r="AD359" s="72" t="str">
        <f t="shared" ca="1" si="26"/>
        <v/>
      </c>
      <c r="AE359" s="72" t="str">
        <f t="shared" ca="1" si="27"/>
        <v/>
      </c>
      <c r="AF359" s="73"/>
      <c r="AG359" s="70"/>
      <c r="AH359" s="70"/>
      <c r="AI359" s="74" t="str">
        <f t="shared" si="28"/>
        <v/>
      </c>
      <c r="AJ359" s="75" t="str">
        <f t="shared" ca="1" si="29"/>
        <v/>
      </c>
      <c r="AK359" s="71"/>
      <c r="AL359" s="70"/>
      <c r="AM359" s="71"/>
      <c r="AN359" s="70"/>
    </row>
    <row r="360" spans="6:40" s="59" customFormat="1" x14ac:dyDescent="0.35">
      <c r="F360" s="65"/>
      <c r="J360" s="67"/>
      <c r="M360" s="68"/>
      <c r="W360" s="20" t="str">
        <f t="shared" si="25"/>
        <v/>
      </c>
      <c r="AA360" s="70"/>
      <c r="AB360" s="71"/>
      <c r="AC360" s="71"/>
      <c r="AD360" s="72" t="str">
        <f t="shared" ca="1" si="26"/>
        <v/>
      </c>
      <c r="AE360" s="72" t="str">
        <f t="shared" ca="1" si="27"/>
        <v/>
      </c>
      <c r="AF360" s="73"/>
      <c r="AG360" s="70"/>
      <c r="AH360" s="70"/>
      <c r="AI360" s="74" t="str">
        <f t="shared" si="28"/>
        <v/>
      </c>
      <c r="AJ360" s="75" t="str">
        <f t="shared" ca="1" si="29"/>
        <v/>
      </c>
      <c r="AK360" s="71"/>
      <c r="AL360" s="70"/>
      <c r="AM360" s="71"/>
      <c r="AN360" s="70"/>
    </row>
    <row r="361" spans="6:40" s="59" customFormat="1" x14ac:dyDescent="0.35">
      <c r="F361" s="65"/>
      <c r="J361" s="67"/>
      <c r="M361" s="68"/>
      <c r="W361" s="20" t="str">
        <f t="shared" si="25"/>
        <v/>
      </c>
      <c r="AA361" s="70"/>
      <c r="AB361" s="71"/>
      <c r="AC361" s="71"/>
      <c r="AD361" s="72" t="str">
        <f t="shared" ca="1" si="26"/>
        <v/>
      </c>
      <c r="AE361" s="72" t="str">
        <f t="shared" ca="1" si="27"/>
        <v/>
      </c>
      <c r="AF361" s="73"/>
      <c r="AG361" s="70"/>
      <c r="AH361" s="70"/>
      <c r="AI361" s="74" t="str">
        <f t="shared" si="28"/>
        <v/>
      </c>
      <c r="AJ361" s="75" t="str">
        <f t="shared" ca="1" si="29"/>
        <v/>
      </c>
      <c r="AK361" s="71"/>
      <c r="AL361" s="70"/>
      <c r="AM361" s="71"/>
      <c r="AN361" s="70"/>
    </row>
    <row r="362" spans="6:40" s="59" customFormat="1" x14ac:dyDescent="0.35">
      <c r="F362" s="65"/>
      <c r="J362" s="67"/>
      <c r="M362" s="68"/>
      <c r="W362" s="20" t="str">
        <f t="shared" si="25"/>
        <v/>
      </c>
      <c r="AA362" s="70"/>
      <c r="AB362" s="71"/>
      <c r="AC362" s="71"/>
      <c r="AD362" s="72" t="str">
        <f t="shared" ca="1" si="26"/>
        <v/>
      </c>
      <c r="AE362" s="72" t="str">
        <f t="shared" ca="1" si="27"/>
        <v/>
      </c>
      <c r="AF362" s="73"/>
      <c r="AG362" s="70"/>
      <c r="AH362" s="70"/>
      <c r="AI362" s="74" t="str">
        <f t="shared" si="28"/>
        <v/>
      </c>
      <c r="AJ362" s="75" t="str">
        <f t="shared" ca="1" si="29"/>
        <v/>
      </c>
      <c r="AK362" s="71"/>
      <c r="AL362" s="70"/>
      <c r="AM362" s="71"/>
      <c r="AN362" s="70"/>
    </row>
    <row r="363" spans="6:40" s="59" customFormat="1" x14ac:dyDescent="0.35">
      <c r="F363" s="65"/>
      <c r="J363" s="67"/>
      <c r="M363" s="68"/>
      <c r="W363" s="20" t="str">
        <f t="shared" si="25"/>
        <v/>
      </c>
      <c r="AA363" s="70"/>
      <c r="AB363" s="71"/>
      <c r="AC363" s="71"/>
      <c r="AD363" s="72" t="str">
        <f t="shared" ca="1" si="26"/>
        <v/>
      </c>
      <c r="AE363" s="72" t="str">
        <f t="shared" ca="1" si="27"/>
        <v/>
      </c>
      <c r="AF363" s="73"/>
      <c r="AG363" s="70"/>
      <c r="AH363" s="70"/>
      <c r="AI363" s="74" t="str">
        <f t="shared" si="28"/>
        <v/>
      </c>
      <c r="AJ363" s="75" t="str">
        <f t="shared" ca="1" si="29"/>
        <v/>
      </c>
      <c r="AK363" s="71"/>
      <c r="AL363" s="70"/>
      <c r="AM363" s="71"/>
      <c r="AN363" s="70"/>
    </row>
    <row r="364" spans="6:40" s="59" customFormat="1" x14ac:dyDescent="0.35">
      <c r="F364" s="65"/>
      <c r="J364" s="67"/>
      <c r="M364" s="68"/>
      <c r="W364" s="20" t="str">
        <f t="shared" si="25"/>
        <v/>
      </c>
      <c r="AA364" s="70"/>
      <c r="AB364" s="71"/>
      <c r="AC364" s="71"/>
      <c r="AD364" s="72" t="str">
        <f t="shared" ca="1" si="26"/>
        <v/>
      </c>
      <c r="AE364" s="72" t="str">
        <f t="shared" ca="1" si="27"/>
        <v/>
      </c>
      <c r="AF364" s="73"/>
      <c r="AG364" s="70"/>
      <c r="AH364" s="70"/>
      <c r="AI364" s="74" t="str">
        <f t="shared" si="28"/>
        <v/>
      </c>
      <c r="AJ364" s="75" t="str">
        <f t="shared" ca="1" si="29"/>
        <v/>
      </c>
      <c r="AK364" s="71"/>
      <c r="AL364" s="70"/>
      <c r="AM364" s="71"/>
      <c r="AN364" s="70"/>
    </row>
    <row r="365" spans="6:40" s="59" customFormat="1" x14ac:dyDescent="0.35">
      <c r="F365" s="65"/>
      <c r="J365" s="67"/>
      <c r="M365" s="68"/>
      <c r="W365" s="20" t="str">
        <f t="shared" si="25"/>
        <v/>
      </c>
      <c r="AA365" s="70"/>
      <c r="AB365" s="71"/>
      <c r="AC365" s="71"/>
      <c r="AD365" s="72" t="str">
        <f t="shared" ca="1" si="26"/>
        <v/>
      </c>
      <c r="AE365" s="72" t="str">
        <f t="shared" ca="1" si="27"/>
        <v/>
      </c>
      <c r="AF365" s="73"/>
      <c r="AG365" s="70"/>
      <c r="AH365" s="70"/>
      <c r="AI365" s="74" t="str">
        <f t="shared" si="28"/>
        <v/>
      </c>
      <c r="AJ365" s="75" t="str">
        <f t="shared" ca="1" si="29"/>
        <v/>
      </c>
      <c r="AK365" s="71"/>
      <c r="AL365" s="70"/>
      <c r="AM365" s="71"/>
      <c r="AN365" s="70"/>
    </row>
    <row r="366" spans="6:40" s="59" customFormat="1" x14ac:dyDescent="0.35">
      <c r="F366" s="65"/>
      <c r="J366" s="67"/>
      <c r="M366" s="68"/>
      <c r="W366" s="20" t="str">
        <f t="shared" si="25"/>
        <v/>
      </c>
      <c r="AA366" s="70"/>
      <c r="AB366" s="71"/>
      <c r="AC366" s="71"/>
      <c r="AD366" s="72" t="str">
        <f t="shared" ca="1" si="26"/>
        <v/>
      </c>
      <c r="AE366" s="72" t="str">
        <f t="shared" ca="1" si="27"/>
        <v/>
      </c>
      <c r="AF366" s="73"/>
      <c r="AG366" s="70"/>
      <c r="AH366" s="70"/>
      <c r="AI366" s="74" t="str">
        <f t="shared" si="28"/>
        <v/>
      </c>
      <c r="AJ366" s="75" t="str">
        <f t="shared" ca="1" si="29"/>
        <v/>
      </c>
      <c r="AK366" s="71"/>
      <c r="AL366" s="70"/>
      <c r="AM366" s="71"/>
      <c r="AN366" s="70"/>
    </row>
    <row r="367" spans="6:40" s="59" customFormat="1" x14ac:dyDescent="0.35">
      <c r="F367" s="65"/>
      <c r="J367" s="67"/>
      <c r="M367" s="68"/>
      <c r="W367" s="20" t="str">
        <f t="shared" si="25"/>
        <v/>
      </c>
      <c r="AA367" s="70"/>
      <c r="AB367" s="71"/>
      <c r="AC367" s="71"/>
      <c r="AD367" s="72" t="str">
        <f t="shared" ca="1" si="26"/>
        <v/>
      </c>
      <c r="AE367" s="72" t="str">
        <f t="shared" ca="1" si="27"/>
        <v/>
      </c>
      <c r="AF367" s="73"/>
      <c r="AG367" s="70"/>
      <c r="AH367" s="70"/>
      <c r="AI367" s="74" t="str">
        <f t="shared" si="28"/>
        <v/>
      </c>
      <c r="AJ367" s="75" t="str">
        <f t="shared" ca="1" si="29"/>
        <v/>
      </c>
      <c r="AK367" s="71"/>
      <c r="AL367" s="70"/>
      <c r="AM367" s="71"/>
      <c r="AN367" s="70"/>
    </row>
    <row r="368" spans="6:40" s="59" customFormat="1" x14ac:dyDescent="0.35">
      <c r="F368" s="65"/>
      <c r="J368" s="67"/>
      <c r="M368" s="68"/>
      <c r="W368" s="20" t="str">
        <f t="shared" si="25"/>
        <v/>
      </c>
      <c r="AA368" s="70"/>
      <c r="AB368" s="71"/>
      <c r="AC368" s="71"/>
      <c r="AD368" s="72" t="str">
        <f t="shared" ca="1" si="26"/>
        <v/>
      </c>
      <c r="AE368" s="72" t="str">
        <f t="shared" ca="1" si="27"/>
        <v/>
      </c>
      <c r="AF368" s="73"/>
      <c r="AG368" s="70"/>
      <c r="AH368" s="70"/>
      <c r="AI368" s="74" t="str">
        <f t="shared" si="28"/>
        <v/>
      </c>
      <c r="AJ368" s="75" t="str">
        <f t="shared" ca="1" si="29"/>
        <v/>
      </c>
      <c r="AK368" s="71"/>
      <c r="AL368" s="70"/>
      <c r="AM368" s="71"/>
      <c r="AN368" s="70"/>
    </row>
    <row r="369" spans="6:40" s="59" customFormat="1" x14ac:dyDescent="0.35">
      <c r="F369" s="65"/>
      <c r="J369" s="67"/>
      <c r="M369" s="68"/>
      <c r="W369" s="20" t="str">
        <f t="shared" si="25"/>
        <v/>
      </c>
      <c r="AA369" s="70"/>
      <c r="AB369" s="71"/>
      <c r="AC369" s="71"/>
      <c r="AD369" s="72" t="str">
        <f t="shared" ca="1" si="26"/>
        <v/>
      </c>
      <c r="AE369" s="72" t="str">
        <f t="shared" ca="1" si="27"/>
        <v/>
      </c>
      <c r="AF369" s="73"/>
      <c r="AG369" s="70"/>
      <c r="AH369" s="70"/>
      <c r="AI369" s="74" t="str">
        <f t="shared" si="28"/>
        <v/>
      </c>
      <c r="AJ369" s="75" t="str">
        <f t="shared" ca="1" si="29"/>
        <v/>
      </c>
      <c r="AK369" s="71"/>
      <c r="AL369" s="70"/>
      <c r="AM369" s="71"/>
      <c r="AN369" s="70"/>
    </row>
    <row r="370" spans="6:40" s="59" customFormat="1" x14ac:dyDescent="0.35">
      <c r="F370" s="65"/>
      <c r="J370" s="67"/>
      <c r="M370" s="68"/>
      <c r="W370" s="20" t="str">
        <f t="shared" si="25"/>
        <v/>
      </c>
      <c r="AA370" s="70"/>
      <c r="AB370" s="71"/>
      <c r="AC370" s="71"/>
      <c r="AD370" s="72" t="str">
        <f t="shared" ca="1" si="26"/>
        <v/>
      </c>
      <c r="AE370" s="72" t="str">
        <f t="shared" ca="1" si="27"/>
        <v/>
      </c>
      <c r="AF370" s="73"/>
      <c r="AG370" s="70"/>
      <c r="AH370" s="70"/>
      <c r="AI370" s="74" t="str">
        <f t="shared" si="28"/>
        <v/>
      </c>
      <c r="AJ370" s="75" t="str">
        <f t="shared" ca="1" si="29"/>
        <v/>
      </c>
      <c r="AK370" s="71"/>
      <c r="AL370" s="70"/>
      <c r="AM370" s="71"/>
      <c r="AN370" s="70"/>
    </row>
    <row r="371" spans="6:40" s="59" customFormat="1" x14ac:dyDescent="0.35">
      <c r="F371" s="65"/>
      <c r="J371" s="67"/>
      <c r="M371" s="68"/>
      <c r="W371" s="20" t="str">
        <f t="shared" si="25"/>
        <v/>
      </c>
      <c r="AA371" s="70"/>
      <c r="AB371" s="71"/>
      <c r="AC371" s="71"/>
      <c r="AD371" s="72" t="str">
        <f t="shared" ca="1" si="26"/>
        <v/>
      </c>
      <c r="AE371" s="72" t="str">
        <f t="shared" ca="1" si="27"/>
        <v/>
      </c>
      <c r="AF371" s="73"/>
      <c r="AG371" s="70"/>
      <c r="AH371" s="70"/>
      <c r="AI371" s="74" t="str">
        <f t="shared" si="28"/>
        <v/>
      </c>
      <c r="AJ371" s="75" t="str">
        <f t="shared" ca="1" si="29"/>
        <v/>
      </c>
      <c r="AK371" s="71"/>
      <c r="AL371" s="70"/>
      <c r="AM371" s="71"/>
      <c r="AN371" s="70"/>
    </row>
    <row r="372" spans="6:40" s="59" customFormat="1" x14ac:dyDescent="0.35">
      <c r="F372" s="65"/>
      <c r="J372" s="67"/>
      <c r="M372" s="68"/>
      <c r="W372" s="20" t="str">
        <f t="shared" si="25"/>
        <v/>
      </c>
      <c r="AA372" s="70"/>
      <c r="AB372" s="71"/>
      <c r="AC372" s="71"/>
      <c r="AD372" s="72" t="str">
        <f t="shared" ca="1" si="26"/>
        <v/>
      </c>
      <c r="AE372" s="72" t="str">
        <f t="shared" ca="1" si="27"/>
        <v/>
      </c>
      <c r="AF372" s="73"/>
      <c r="AG372" s="70"/>
      <c r="AH372" s="70"/>
      <c r="AI372" s="74" t="str">
        <f t="shared" si="28"/>
        <v/>
      </c>
      <c r="AJ372" s="75" t="str">
        <f t="shared" ca="1" si="29"/>
        <v/>
      </c>
      <c r="AK372" s="71"/>
      <c r="AL372" s="70"/>
      <c r="AM372" s="71"/>
      <c r="AN372" s="70"/>
    </row>
    <row r="373" spans="6:40" s="59" customFormat="1" x14ac:dyDescent="0.35">
      <c r="F373" s="65"/>
      <c r="J373" s="67"/>
      <c r="M373" s="68"/>
      <c r="W373" s="20" t="str">
        <f t="shared" si="25"/>
        <v/>
      </c>
      <c r="AA373" s="70"/>
      <c r="AB373" s="71"/>
      <c r="AC373" s="71"/>
      <c r="AD373" s="72" t="str">
        <f t="shared" ca="1" si="26"/>
        <v/>
      </c>
      <c r="AE373" s="72" t="str">
        <f t="shared" ca="1" si="27"/>
        <v/>
      </c>
      <c r="AF373" s="73"/>
      <c r="AG373" s="70"/>
      <c r="AH373" s="70"/>
      <c r="AI373" s="74" t="str">
        <f t="shared" si="28"/>
        <v/>
      </c>
      <c r="AJ373" s="75" t="str">
        <f t="shared" ca="1" si="29"/>
        <v/>
      </c>
      <c r="AK373" s="71"/>
      <c r="AL373" s="70"/>
      <c r="AM373" s="71"/>
      <c r="AN373" s="70"/>
    </row>
    <row r="374" spans="6:40" s="59" customFormat="1" x14ac:dyDescent="0.35">
      <c r="F374" s="65"/>
      <c r="J374" s="67"/>
      <c r="M374" s="68"/>
      <c r="W374" s="20" t="str">
        <f t="shared" si="25"/>
        <v/>
      </c>
      <c r="AA374" s="70"/>
      <c r="AB374" s="71"/>
      <c r="AC374" s="71"/>
      <c r="AD374" s="72" t="str">
        <f t="shared" ca="1" si="26"/>
        <v/>
      </c>
      <c r="AE374" s="72" t="str">
        <f t="shared" ca="1" si="27"/>
        <v/>
      </c>
      <c r="AF374" s="73"/>
      <c r="AG374" s="70"/>
      <c r="AH374" s="70"/>
      <c r="AI374" s="74" t="str">
        <f t="shared" si="28"/>
        <v/>
      </c>
      <c r="AJ374" s="75" t="str">
        <f t="shared" ca="1" si="29"/>
        <v/>
      </c>
      <c r="AK374" s="71"/>
      <c r="AL374" s="70"/>
      <c r="AM374" s="71"/>
      <c r="AN374" s="70"/>
    </row>
    <row r="375" spans="6:40" s="59" customFormat="1" x14ac:dyDescent="0.35">
      <c r="F375" s="65"/>
      <c r="J375" s="67"/>
      <c r="M375" s="68"/>
      <c r="W375" s="20" t="str">
        <f t="shared" si="25"/>
        <v/>
      </c>
      <c r="AA375" s="70"/>
      <c r="AB375" s="71"/>
      <c r="AC375" s="71"/>
      <c r="AD375" s="72" t="str">
        <f t="shared" ca="1" si="26"/>
        <v/>
      </c>
      <c r="AE375" s="72" t="str">
        <f t="shared" ca="1" si="27"/>
        <v/>
      </c>
      <c r="AF375" s="73"/>
      <c r="AG375" s="70"/>
      <c r="AH375" s="70"/>
      <c r="AI375" s="74" t="str">
        <f t="shared" si="28"/>
        <v/>
      </c>
      <c r="AJ375" s="75" t="str">
        <f t="shared" ca="1" si="29"/>
        <v/>
      </c>
      <c r="AK375" s="71"/>
      <c r="AL375" s="70"/>
      <c r="AM375" s="71"/>
      <c r="AN375" s="70"/>
    </row>
    <row r="376" spans="6:40" s="59" customFormat="1" x14ac:dyDescent="0.35">
      <c r="F376" s="65"/>
      <c r="J376" s="67"/>
      <c r="M376" s="68"/>
      <c r="W376" s="20" t="str">
        <f t="shared" si="25"/>
        <v/>
      </c>
      <c r="AA376" s="70"/>
      <c r="AB376" s="71"/>
      <c r="AC376" s="71"/>
      <c r="AD376" s="72" t="str">
        <f t="shared" ca="1" si="26"/>
        <v/>
      </c>
      <c r="AE376" s="72" t="str">
        <f t="shared" ca="1" si="27"/>
        <v/>
      </c>
      <c r="AF376" s="73"/>
      <c r="AG376" s="70"/>
      <c r="AH376" s="70"/>
      <c r="AI376" s="74" t="str">
        <f t="shared" si="28"/>
        <v/>
      </c>
      <c r="AJ376" s="75" t="str">
        <f t="shared" ca="1" si="29"/>
        <v/>
      </c>
      <c r="AK376" s="71"/>
      <c r="AL376" s="70"/>
      <c r="AM376" s="71"/>
      <c r="AN376" s="70"/>
    </row>
    <row r="377" spans="6:40" s="59" customFormat="1" x14ac:dyDescent="0.35">
      <c r="F377" s="65"/>
      <c r="J377" s="67"/>
      <c r="M377" s="68"/>
      <c r="W377" s="20" t="str">
        <f t="shared" si="25"/>
        <v/>
      </c>
      <c r="AA377" s="70"/>
      <c r="AB377" s="71"/>
      <c r="AC377" s="71"/>
      <c r="AD377" s="72" t="str">
        <f t="shared" ca="1" si="26"/>
        <v/>
      </c>
      <c r="AE377" s="72" t="str">
        <f t="shared" ca="1" si="27"/>
        <v/>
      </c>
      <c r="AF377" s="73"/>
      <c r="AG377" s="70"/>
      <c r="AH377" s="70"/>
      <c r="AI377" s="74" t="str">
        <f t="shared" si="28"/>
        <v/>
      </c>
      <c r="AJ377" s="75" t="str">
        <f t="shared" ca="1" si="29"/>
        <v/>
      </c>
      <c r="AK377" s="71"/>
      <c r="AL377" s="70"/>
      <c r="AM377" s="71"/>
      <c r="AN377" s="70"/>
    </row>
    <row r="378" spans="6:40" s="59" customFormat="1" x14ac:dyDescent="0.35">
      <c r="F378" s="65"/>
      <c r="J378" s="67"/>
      <c r="M378" s="68"/>
      <c r="W378" s="20" t="str">
        <f t="shared" si="25"/>
        <v/>
      </c>
      <c r="AA378" s="70"/>
      <c r="AB378" s="71"/>
      <c r="AC378" s="71"/>
      <c r="AD378" s="72" t="str">
        <f t="shared" ca="1" si="26"/>
        <v/>
      </c>
      <c r="AE378" s="72" t="str">
        <f t="shared" ca="1" si="27"/>
        <v/>
      </c>
      <c r="AF378" s="73"/>
      <c r="AG378" s="70"/>
      <c r="AH378" s="70"/>
      <c r="AI378" s="74" t="str">
        <f t="shared" si="28"/>
        <v/>
      </c>
      <c r="AJ378" s="75" t="str">
        <f t="shared" ca="1" si="29"/>
        <v/>
      </c>
      <c r="AK378" s="71"/>
      <c r="AL378" s="70"/>
      <c r="AM378" s="71"/>
      <c r="AN378" s="70"/>
    </row>
    <row r="379" spans="6:40" s="59" customFormat="1" x14ac:dyDescent="0.35">
      <c r="F379" s="65"/>
      <c r="J379" s="67"/>
      <c r="M379" s="68"/>
      <c r="W379" s="20" t="str">
        <f t="shared" si="25"/>
        <v/>
      </c>
      <c r="AA379" s="70"/>
      <c r="AB379" s="71"/>
      <c r="AC379" s="71"/>
      <c r="AD379" s="72" t="str">
        <f t="shared" ca="1" si="26"/>
        <v/>
      </c>
      <c r="AE379" s="72" t="str">
        <f t="shared" ca="1" si="27"/>
        <v/>
      </c>
      <c r="AF379" s="73"/>
      <c r="AG379" s="70"/>
      <c r="AH379" s="70"/>
      <c r="AI379" s="74" t="str">
        <f t="shared" si="28"/>
        <v/>
      </c>
      <c r="AJ379" s="75" t="str">
        <f t="shared" ca="1" si="29"/>
        <v/>
      </c>
      <c r="AK379" s="71"/>
      <c r="AL379" s="70"/>
      <c r="AM379" s="71"/>
      <c r="AN379" s="70"/>
    </row>
    <row r="380" spans="6:40" s="59" customFormat="1" x14ac:dyDescent="0.35">
      <c r="F380" s="65"/>
      <c r="J380" s="67"/>
      <c r="M380" s="68"/>
      <c r="W380" s="20" t="str">
        <f t="shared" si="25"/>
        <v/>
      </c>
      <c r="AA380" s="70"/>
      <c r="AB380" s="71"/>
      <c r="AC380" s="71"/>
      <c r="AD380" s="72" t="str">
        <f t="shared" ca="1" si="26"/>
        <v/>
      </c>
      <c r="AE380" s="72" t="str">
        <f t="shared" ca="1" si="27"/>
        <v/>
      </c>
      <c r="AF380" s="73"/>
      <c r="AG380" s="70"/>
      <c r="AH380" s="70"/>
      <c r="AI380" s="74" t="str">
        <f t="shared" si="28"/>
        <v/>
      </c>
      <c r="AJ380" s="75" t="str">
        <f t="shared" ca="1" si="29"/>
        <v/>
      </c>
      <c r="AK380" s="71"/>
      <c r="AL380" s="70"/>
      <c r="AM380" s="71"/>
      <c r="AN380" s="70"/>
    </row>
    <row r="381" spans="6:40" s="59" customFormat="1" x14ac:dyDescent="0.35">
      <c r="F381" s="65"/>
      <c r="J381" s="67"/>
      <c r="M381" s="68"/>
      <c r="W381" s="20" t="str">
        <f t="shared" si="25"/>
        <v/>
      </c>
      <c r="AA381" s="70"/>
      <c r="AB381" s="71"/>
      <c r="AC381" s="71"/>
      <c r="AD381" s="72" t="str">
        <f t="shared" ca="1" si="26"/>
        <v/>
      </c>
      <c r="AE381" s="72" t="str">
        <f t="shared" ca="1" si="27"/>
        <v/>
      </c>
      <c r="AF381" s="73"/>
      <c r="AG381" s="70"/>
      <c r="AH381" s="70"/>
      <c r="AI381" s="74" t="str">
        <f t="shared" si="28"/>
        <v/>
      </c>
      <c r="AJ381" s="75" t="str">
        <f t="shared" ca="1" si="29"/>
        <v/>
      </c>
      <c r="AK381" s="71"/>
      <c r="AL381" s="70"/>
      <c r="AM381" s="71"/>
      <c r="AN381" s="70"/>
    </row>
    <row r="382" spans="6:40" s="59" customFormat="1" x14ac:dyDescent="0.35">
      <c r="F382" s="65"/>
      <c r="J382" s="67"/>
      <c r="M382" s="68"/>
      <c r="W382" s="20" t="str">
        <f t="shared" si="25"/>
        <v/>
      </c>
      <c r="AA382" s="70"/>
      <c r="AB382" s="71"/>
      <c r="AC382" s="71"/>
      <c r="AD382" s="72" t="str">
        <f t="shared" ca="1" si="26"/>
        <v/>
      </c>
      <c r="AE382" s="72" t="str">
        <f t="shared" ca="1" si="27"/>
        <v/>
      </c>
      <c r="AF382" s="73"/>
      <c r="AG382" s="70"/>
      <c r="AH382" s="70"/>
      <c r="AI382" s="74" t="str">
        <f t="shared" si="28"/>
        <v/>
      </c>
      <c r="AJ382" s="75" t="str">
        <f t="shared" ca="1" si="29"/>
        <v/>
      </c>
      <c r="AK382" s="71"/>
      <c r="AL382" s="70"/>
      <c r="AM382" s="71"/>
      <c r="AN382" s="70"/>
    </row>
    <row r="383" spans="6:40" s="59" customFormat="1" x14ac:dyDescent="0.35">
      <c r="F383" s="65"/>
      <c r="J383" s="67"/>
      <c r="M383" s="68"/>
      <c r="W383" s="20" t="str">
        <f t="shared" si="25"/>
        <v/>
      </c>
      <c r="AA383" s="70"/>
      <c r="AB383" s="71"/>
      <c r="AC383" s="71"/>
      <c r="AD383" s="72" t="str">
        <f t="shared" ca="1" si="26"/>
        <v/>
      </c>
      <c r="AE383" s="72" t="str">
        <f t="shared" ca="1" si="27"/>
        <v/>
      </c>
      <c r="AF383" s="73"/>
      <c r="AG383" s="70"/>
      <c r="AH383" s="70"/>
      <c r="AI383" s="74" t="str">
        <f t="shared" si="28"/>
        <v/>
      </c>
      <c r="AJ383" s="75" t="str">
        <f t="shared" ca="1" si="29"/>
        <v/>
      </c>
      <c r="AK383" s="71"/>
      <c r="AL383" s="70"/>
      <c r="AM383" s="71"/>
      <c r="AN383" s="70"/>
    </row>
    <row r="384" spans="6:40" s="59" customFormat="1" x14ac:dyDescent="0.35">
      <c r="F384" s="65"/>
      <c r="J384" s="67"/>
      <c r="M384" s="68"/>
      <c r="W384" s="20" t="str">
        <f t="shared" si="25"/>
        <v/>
      </c>
      <c r="AA384" s="70"/>
      <c r="AB384" s="71"/>
      <c r="AC384" s="71"/>
      <c r="AD384" s="72" t="str">
        <f t="shared" ca="1" si="26"/>
        <v/>
      </c>
      <c r="AE384" s="72" t="str">
        <f t="shared" ca="1" si="27"/>
        <v/>
      </c>
      <c r="AF384" s="73"/>
      <c r="AG384" s="70"/>
      <c r="AH384" s="70"/>
      <c r="AI384" s="74" t="str">
        <f t="shared" si="28"/>
        <v/>
      </c>
      <c r="AJ384" s="75" t="str">
        <f t="shared" ca="1" si="29"/>
        <v/>
      </c>
      <c r="AK384" s="71"/>
      <c r="AL384" s="70"/>
      <c r="AM384" s="71"/>
      <c r="AN384" s="70"/>
    </row>
    <row r="385" spans="6:40" s="59" customFormat="1" x14ac:dyDescent="0.35">
      <c r="F385" s="65"/>
      <c r="J385" s="67"/>
      <c r="M385" s="68"/>
      <c r="W385" s="20" t="str">
        <f t="shared" si="25"/>
        <v/>
      </c>
      <c r="AA385" s="70"/>
      <c r="AB385" s="71"/>
      <c r="AC385" s="71"/>
      <c r="AD385" s="72" t="str">
        <f t="shared" ca="1" si="26"/>
        <v/>
      </c>
      <c r="AE385" s="72" t="str">
        <f t="shared" ca="1" si="27"/>
        <v/>
      </c>
      <c r="AF385" s="73"/>
      <c r="AG385" s="70"/>
      <c r="AH385" s="70"/>
      <c r="AI385" s="74" t="str">
        <f t="shared" si="28"/>
        <v/>
      </c>
      <c r="AJ385" s="75" t="str">
        <f t="shared" ca="1" si="29"/>
        <v/>
      </c>
      <c r="AK385" s="71"/>
      <c r="AL385" s="70"/>
      <c r="AM385" s="71"/>
      <c r="AN385" s="70"/>
    </row>
    <row r="386" spans="6:40" s="59" customFormat="1" x14ac:dyDescent="0.35">
      <c r="F386" s="65"/>
      <c r="J386" s="67"/>
      <c r="M386" s="68"/>
      <c r="W386" s="20" t="str">
        <f t="shared" si="25"/>
        <v/>
      </c>
      <c r="AA386" s="70"/>
      <c r="AB386" s="71"/>
      <c r="AC386" s="71"/>
      <c r="AD386" s="72" t="str">
        <f t="shared" ca="1" si="26"/>
        <v/>
      </c>
      <c r="AE386" s="72" t="str">
        <f t="shared" ca="1" si="27"/>
        <v/>
      </c>
      <c r="AF386" s="73"/>
      <c r="AG386" s="70"/>
      <c r="AH386" s="70"/>
      <c r="AI386" s="74" t="str">
        <f t="shared" si="28"/>
        <v/>
      </c>
      <c r="AJ386" s="75" t="str">
        <f t="shared" ca="1" si="29"/>
        <v/>
      </c>
      <c r="AK386" s="71"/>
      <c r="AL386" s="70"/>
      <c r="AM386" s="71"/>
      <c r="AN386" s="70"/>
    </row>
    <row r="387" spans="6:40" s="59" customFormat="1" x14ac:dyDescent="0.35">
      <c r="F387" s="65"/>
      <c r="J387" s="67"/>
      <c r="M387" s="68"/>
      <c r="W387" s="20" t="str">
        <f t="shared" si="25"/>
        <v/>
      </c>
      <c r="AA387" s="70"/>
      <c r="AB387" s="71"/>
      <c r="AC387" s="71"/>
      <c r="AD387" s="72" t="str">
        <f t="shared" ca="1" si="26"/>
        <v/>
      </c>
      <c r="AE387" s="72" t="str">
        <f t="shared" ca="1" si="27"/>
        <v/>
      </c>
      <c r="AF387" s="73"/>
      <c r="AG387" s="70"/>
      <c r="AH387" s="70"/>
      <c r="AI387" s="74" t="str">
        <f t="shared" si="28"/>
        <v/>
      </c>
      <c r="AJ387" s="75" t="str">
        <f t="shared" ca="1" si="29"/>
        <v/>
      </c>
      <c r="AK387" s="71"/>
      <c r="AL387" s="70"/>
      <c r="AM387" s="71"/>
      <c r="AN387" s="70"/>
    </row>
    <row r="388" spans="6:40" s="59" customFormat="1" x14ac:dyDescent="0.35">
      <c r="F388" s="65"/>
      <c r="J388" s="67"/>
      <c r="M388" s="68"/>
      <c r="W388" s="20" t="str">
        <f t="shared" si="25"/>
        <v/>
      </c>
      <c r="AA388" s="70"/>
      <c r="AB388" s="71"/>
      <c r="AC388" s="71"/>
      <c r="AD388" s="72" t="str">
        <f t="shared" ca="1" si="26"/>
        <v/>
      </c>
      <c r="AE388" s="72" t="str">
        <f t="shared" ca="1" si="27"/>
        <v/>
      </c>
      <c r="AF388" s="73"/>
      <c r="AG388" s="70"/>
      <c r="AH388" s="70"/>
      <c r="AI388" s="74" t="str">
        <f t="shared" si="28"/>
        <v/>
      </c>
      <c r="AJ388" s="75" t="str">
        <f t="shared" ca="1" si="29"/>
        <v/>
      </c>
      <c r="AK388" s="71"/>
      <c r="AL388" s="70"/>
      <c r="AM388" s="71"/>
      <c r="AN388" s="70"/>
    </row>
    <row r="389" spans="6:40" s="59" customFormat="1" x14ac:dyDescent="0.35">
      <c r="F389" s="65"/>
      <c r="J389" s="67"/>
      <c r="M389" s="68"/>
      <c r="W389" s="20" t="str">
        <f t="shared" si="25"/>
        <v/>
      </c>
      <c r="AA389" s="70"/>
      <c r="AB389" s="71"/>
      <c r="AC389" s="71"/>
      <c r="AD389" s="72" t="str">
        <f t="shared" ca="1" si="26"/>
        <v/>
      </c>
      <c r="AE389" s="72" t="str">
        <f t="shared" ca="1" si="27"/>
        <v/>
      </c>
      <c r="AF389" s="73"/>
      <c r="AG389" s="70"/>
      <c r="AH389" s="70"/>
      <c r="AI389" s="74" t="str">
        <f t="shared" si="28"/>
        <v/>
      </c>
      <c r="AJ389" s="75" t="str">
        <f t="shared" ca="1" si="29"/>
        <v/>
      </c>
      <c r="AK389" s="71"/>
      <c r="AL389" s="70"/>
      <c r="AM389" s="71"/>
      <c r="AN389" s="70"/>
    </row>
    <row r="390" spans="6:40" s="59" customFormat="1" x14ac:dyDescent="0.35">
      <c r="F390" s="65"/>
      <c r="J390" s="67"/>
      <c r="M390" s="68"/>
      <c r="W390" s="20" t="str">
        <f t="shared" si="25"/>
        <v/>
      </c>
      <c r="AA390" s="70"/>
      <c r="AB390" s="71"/>
      <c r="AC390" s="71"/>
      <c r="AD390" s="72" t="str">
        <f t="shared" ca="1" si="26"/>
        <v/>
      </c>
      <c r="AE390" s="72" t="str">
        <f t="shared" ca="1" si="27"/>
        <v/>
      </c>
      <c r="AF390" s="73"/>
      <c r="AG390" s="70"/>
      <c r="AH390" s="70"/>
      <c r="AI390" s="74" t="str">
        <f t="shared" si="28"/>
        <v/>
      </c>
      <c r="AJ390" s="75" t="str">
        <f t="shared" ca="1" si="29"/>
        <v/>
      </c>
      <c r="AK390" s="71"/>
      <c r="AL390" s="70"/>
      <c r="AM390" s="71"/>
      <c r="AN390" s="70"/>
    </row>
    <row r="391" spans="6:40" s="59" customFormat="1" x14ac:dyDescent="0.35">
      <c r="F391" s="65"/>
      <c r="J391" s="67"/>
      <c r="M391" s="68"/>
      <c r="W391" s="20" t="str">
        <f t="shared" ref="W391:W454" si="30">IFERROR(VLOOKUP($V391,$AU$5:$AV$13,2,0),"")</f>
        <v/>
      </c>
      <c r="AA391" s="70"/>
      <c r="AB391" s="71"/>
      <c r="AC391" s="71"/>
      <c r="AD391" s="72" t="str">
        <f t="shared" ref="AD391:AD454" ca="1" si="31">IF($U391="Closed","",(IF($AC391=0,"",(IF(OR($AI391="",$AI391="Enter the date"),NETWORKDAYS($AC391,TODAY()),NETWORKDAYS($AC391,$AI391))))))</f>
        <v/>
      </c>
      <c r="AE391" s="72" t="str">
        <f t="shared" ref="AE391:AE454" ca="1" si="32">IF(AND($U391="Open",OR($AI391="",$AI391="Enter the date")),$AD391,IFERROR($AD391+$AJ391,""))</f>
        <v/>
      </c>
      <c r="AF391" s="73"/>
      <c r="AG391" s="70"/>
      <c r="AH391" s="70"/>
      <c r="AI391" s="74" t="str">
        <f t="shared" ref="AI391:AI454" si="33">IF($AC391="","",(IF($AH391=0,IF($AG391=0,IF($AF391=0,"Enter the date",$AF391),$AG391),$AH391)))</f>
        <v/>
      </c>
      <c r="AJ391" s="75" t="str">
        <f t="shared" ref="AJ391:AJ454" ca="1" si="34">IF($U391="Closed","",IF(AI391="","",(IF($AI391="Enter The date","",(NETWORKDAYS($AI391,TODAY()))-1))))</f>
        <v/>
      </c>
      <c r="AK391" s="71"/>
      <c r="AL391" s="70"/>
      <c r="AM391" s="71"/>
      <c r="AN391" s="70"/>
    </row>
    <row r="392" spans="6:40" s="59" customFormat="1" x14ac:dyDescent="0.35">
      <c r="F392" s="65"/>
      <c r="J392" s="67"/>
      <c r="M392" s="68"/>
      <c r="W392" s="20" t="str">
        <f t="shared" si="30"/>
        <v/>
      </c>
      <c r="AA392" s="70"/>
      <c r="AB392" s="71"/>
      <c r="AC392" s="71"/>
      <c r="AD392" s="72" t="str">
        <f t="shared" ca="1" si="31"/>
        <v/>
      </c>
      <c r="AE392" s="72" t="str">
        <f t="shared" ca="1" si="32"/>
        <v/>
      </c>
      <c r="AF392" s="73"/>
      <c r="AG392" s="70"/>
      <c r="AH392" s="70"/>
      <c r="AI392" s="74" t="str">
        <f t="shared" si="33"/>
        <v/>
      </c>
      <c r="AJ392" s="75" t="str">
        <f t="shared" ca="1" si="34"/>
        <v/>
      </c>
      <c r="AK392" s="71"/>
      <c r="AL392" s="70"/>
      <c r="AM392" s="71"/>
      <c r="AN392" s="70"/>
    </row>
    <row r="393" spans="6:40" s="59" customFormat="1" x14ac:dyDescent="0.35">
      <c r="F393" s="65"/>
      <c r="J393" s="67"/>
      <c r="M393" s="68"/>
      <c r="W393" s="20" t="str">
        <f t="shared" si="30"/>
        <v/>
      </c>
      <c r="AA393" s="70"/>
      <c r="AB393" s="71"/>
      <c r="AC393" s="71"/>
      <c r="AD393" s="72" t="str">
        <f t="shared" ca="1" si="31"/>
        <v/>
      </c>
      <c r="AE393" s="72" t="str">
        <f t="shared" ca="1" si="32"/>
        <v/>
      </c>
      <c r="AF393" s="73"/>
      <c r="AG393" s="70"/>
      <c r="AH393" s="70"/>
      <c r="AI393" s="74" t="str">
        <f t="shared" si="33"/>
        <v/>
      </c>
      <c r="AJ393" s="75" t="str">
        <f t="shared" ca="1" si="34"/>
        <v/>
      </c>
      <c r="AK393" s="71"/>
      <c r="AL393" s="70"/>
      <c r="AM393" s="71"/>
      <c r="AN393" s="70"/>
    </row>
    <row r="394" spans="6:40" s="59" customFormat="1" x14ac:dyDescent="0.35">
      <c r="F394" s="65"/>
      <c r="J394" s="67"/>
      <c r="M394" s="68"/>
      <c r="W394" s="20" t="str">
        <f t="shared" si="30"/>
        <v/>
      </c>
      <c r="AA394" s="70"/>
      <c r="AB394" s="71"/>
      <c r="AC394" s="71"/>
      <c r="AD394" s="72" t="str">
        <f t="shared" ca="1" si="31"/>
        <v/>
      </c>
      <c r="AE394" s="72" t="str">
        <f t="shared" ca="1" si="32"/>
        <v/>
      </c>
      <c r="AF394" s="73"/>
      <c r="AG394" s="70"/>
      <c r="AH394" s="70"/>
      <c r="AI394" s="74" t="str">
        <f t="shared" si="33"/>
        <v/>
      </c>
      <c r="AJ394" s="75" t="str">
        <f t="shared" ca="1" si="34"/>
        <v/>
      </c>
      <c r="AK394" s="71"/>
      <c r="AL394" s="70"/>
      <c r="AM394" s="71"/>
      <c r="AN394" s="70"/>
    </row>
    <row r="395" spans="6:40" s="59" customFormat="1" x14ac:dyDescent="0.35">
      <c r="F395" s="65"/>
      <c r="J395" s="67"/>
      <c r="M395" s="68"/>
      <c r="W395" s="20" t="str">
        <f t="shared" si="30"/>
        <v/>
      </c>
      <c r="AA395" s="70"/>
      <c r="AB395" s="71"/>
      <c r="AC395" s="71"/>
      <c r="AD395" s="72" t="str">
        <f t="shared" ca="1" si="31"/>
        <v/>
      </c>
      <c r="AE395" s="72" t="str">
        <f t="shared" ca="1" si="32"/>
        <v/>
      </c>
      <c r="AF395" s="73"/>
      <c r="AG395" s="70"/>
      <c r="AH395" s="70"/>
      <c r="AI395" s="74" t="str">
        <f t="shared" si="33"/>
        <v/>
      </c>
      <c r="AJ395" s="75" t="str">
        <f t="shared" ca="1" si="34"/>
        <v/>
      </c>
      <c r="AK395" s="71"/>
      <c r="AL395" s="70"/>
      <c r="AM395" s="71"/>
      <c r="AN395" s="70"/>
    </row>
    <row r="396" spans="6:40" s="59" customFormat="1" x14ac:dyDescent="0.35">
      <c r="F396" s="65"/>
      <c r="J396" s="67"/>
      <c r="M396" s="68"/>
      <c r="W396" s="20" t="str">
        <f t="shared" si="30"/>
        <v/>
      </c>
      <c r="AA396" s="70"/>
      <c r="AB396" s="71"/>
      <c r="AC396" s="71"/>
      <c r="AD396" s="72" t="str">
        <f t="shared" ca="1" si="31"/>
        <v/>
      </c>
      <c r="AE396" s="72" t="str">
        <f t="shared" ca="1" si="32"/>
        <v/>
      </c>
      <c r="AF396" s="73"/>
      <c r="AG396" s="70"/>
      <c r="AH396" s="70"/>
      <c r="AI396" s="74" t="str">
        <f t="shared" si="33"/>
        <v/>
      </c>
      <c r="AJ396" s="75" t="str">
        <f t="shared" ca="1" si="34"/>
        <v/>
      </c>
      <c r="AK396" s="71"/>
      <c r="AL396" s="70"/>
      <c r="AM396" s="71"/>
      <c r="AN396" s="70"/>
    </row>
    <row r="397" spans="6:40" s="59" customFormat="1" x14ac:dyDescent="0.35">
      <c r="F397" s="65"/>
      <c r="J397" s="67"/>
      <c r="M397" s="68"/>
      <c r="W397" s="20" t="str">
        <f t="shared" si="30"/>
        <v/>
      </c>
      <c r="AA397" s="70"/>
      <c r="AB397" s="71"/>
      <c r="AC397" s="71"/>
      <c r="AD397" s="72" t="str">
        <f t="shared" ca="1" si="31"/>
        <v/>
      </c>
      <c r="AE397" s="72" t="str">
        <f t="shared" ca="1" si="32"/>
        <v/>
      </c>
      <c r="AF397" s="73"/>
      <c r="AG397" s="70"/>
      <c r="AH397" s="70"/>
      <c r="AI397" s="74" t="str">
        <f t="shared" si="33"/>
        <v/>
      </c>
      <c r="AJ397" s="75" t="str">
        <f t="shared" ca="1" si="34"/>
        <v/>
      </c>
      <c r="AK397" s="71"/>
      <c r="AL397" s="70"/>
      <c r="AM397" s="71"/>
      <c r="AN397" s="70"/>
    </row>
    <row r="398" spans="6:40" s="59" customFormat="1" x14ac:dyDescent="0.35">
      <c r="F398" s="65"/>
      <c r="J398" s="67"/>
      <c r="M398" s="68"/>
      <c r="W398" s="20" t="str">
        <f t="shared" si="30"/>
        <v/>
      </c>
      <c r="AA398" s="70"/>
      <c r="AB398" s="71"/>
      <c r="AC398" s="71"/>
      <c r="AD398" s="72" t="str">
        <f t="shared" ca="1" si="31"/>
        <v/>
      </c>
      <c r="AE398" s="72" t="str">
        <f t="shared" ca="1" si="32"/>
        <v/>
      </c>
      <c r="AF398" s="73"/>
      <c r="AG398" s="70"/>
      <c r="AH398" s="70"/>
      <c r="AI398" s="74" t="str">
        <f t="shared" si="33"/>
        <v/>
      </c>
      <c r="AJ398" s="75" t="str">
        <f t="shared" ca="1" si="34"/>
        <v/>
      </c>
      <c r="AK398" s="71"/>
      <c r="AL398" s="70"/>
      <c r="AM398" s="71"/>
      <c r="AN398" s="70"/>
    </row>
    <row r="399" spans="6:40" s="59" customFormat="1" x14ac:dyDescent="0.35">
      <c r="F399" s="65"/>
      <c r="J399" s="67"/>
      <c r="M399" s="68"/>
      <c r="W399" s="20" t="str">
        <f t="shared" si="30"/>
        <v/>
      </c>
      <c r="AA399" s="70"/>
      <c r="AB399" s="71"/>
      <c r="AC399" s="71"/>
      <c r="AD399" s="72" t="str">
        <f t="shared" ca="1" si="31"/>
        <v/>
      </c>
      <c r="AE399" s="72" t="str">
        <f t="shared" ca="1" si="32"/>
        <v/>
      </c>
      <c r="AF399" s="73"/>
      <c r="AG399" s="70"/>
      <c r="AH399" s="70"/>
      <c r="AI399" s="74" t="str">
        <f t="shared" si="33"/>
        <v/>
      </c>
      <c r="AJ399" s="75" t="str">
        <f t="shared" ca="1" si="34"/>
        <v/>
      </c>
      <c r="AK399" s="71"/>
      <c r="AL399" s="70"/>
      <c r="AM399" s="71"/>
      <c r="AN399" s="70"/>
    </row>
    <row r="400" spans="6:40" s="59" customFormat="1" x14ac:dyDescent="0.35">
      <c r="F400" s="65"/>
      <c r="J400" s="67"/>
      <c r="M400" s="68"/>
      <c r="W400" s="20" t="str">
        <f t="shared" si="30"/>
        <v/>
      </c>
      <c r="AA400" s="70"/>
      <c r="AB400" s="71"/>
      <c r="AC400" s="71"/>
      <c r="AD400" s="72" t="str">
        <f t="shared" ca="1" si="31"/>
        <v/>
      </c>
      <c r="AE400" s="72" t="str">
        <f t="shared" ca="1" si="32"/>
        <v/>
      </c>
      <c r="AF400" s="73"/>
      <c r="AG400" s="70"/>
      <c r="AH400" s="70"/>
      <c r="AI400" s="74" t="str">
        <f t="shared" si="33"/>
        <v/>
      </c>
      <c r="AJ400" s="75" t="str">
        <f t="shared" ca="1" si="34"/>
        <v/>
      </c>
      <c r="AK400" s="71"/>
      <c r="AL400" s="70"/>
      <c r="AM400" s="71"/>
      <c r="AN400" s="70"/>
    </row>
    <row r="401" spans="6:40" s="59" customFormat="1" x14ac:dyDescent="0.35">
      <c r="F401" s="65"/>
      <c r="J401" s="67"/>
      <c r="M401" s="68"/>
      <c r="W401" s="20" t="str">
        <f t="shared" si="30"/>
        <v/>
      </c>
      <c r="AA401" s="70"/>
      <c r="AB401" s="71"/>
      <c r="AC401" s="71"/>
      <c r="AD401" s="72" t="str">
        <f t="shared" ca="1" si="31"/>
        <v/>
      </c>
      <c r="AE401" s="72" t="str">
        <f t="shared" ca="1" si="32"/>
        <v/>
      </c>
      <c r="AF401" s="73"/>
      <c r="AG401" s="70"/>
      <c r="AH401" s="70"/>
      <c r="AI401" s="74" t="str">
        <f t="shared" si="33"/>
        <v/>
      </c>
      <c r="AJ401" s="75" t="str">
        <f t="shared" ca="1" si="34"/>
        <v/>
      </c>
      <c r="AK401" s="71"/>
      <c r="AL401" s="70"/>
      <c r="AM401" s="71"/>
      <c r="AN401" s="70"/>
    </row>
    <row r="402" spans="6:40" s="59" customFormat="1" x14ac:dyDescent="0.35">
      <c r="F402" s="65"/>
      <c r="J402" s="67"/>
      <c r="M402" s="68"/>
      <c r="W402" s="20" t="str">
        <f t="shared" si="30"/>
        <v/>
      </c>
      <c r="AA402" s="70"/>
      <c r="AB402" s="71"/>
      <c r="AC402" s="71"/>
      <c r="AD402" s="72" t="str">
        <f t="shared" ca="1" si="31"/>
        <v/>
      </c>
      <c r="AE402" s="72" t="str">
        <f t="shared" ca="1" si="32"/>
        <v/>
      </c>
      <c r="AF402" s="73"/>
      <c r="AG402" s="70"/>
      <c r="AH402" s="70"/>
      <c r="AI402" s="74" t="str">
        <f t="shared" si="33"/>
        <v/>
      </c>
      <c r="AJ402" s="75" t="str">
        <f t="shared" ca="1" si="34"/>
        <v/>
      </c>
      <c r="AK402" s="71"/>
      <c r="AL402" s="70"/>
      <c r="AM402" s="71"/>
      <c r="AN402" s="70"/>
    </row>
    <row r="403" spans="6:40" s="59" customFormat="1" x14ac:dyDescent="0.35">
      <c r="F403" s="65"/>
      <c r="J403" s="67"/>
      <c r="M403" s="68"/>
      <c r="W403" s="20" t="str">
        <f t="shared" si="30"/>
        <v/>
      </c>
      <c r="AA403" s="70"/>
      <c r="AB403" s="71"/>
      <c r="AC403" s="71"/>
      <c r="AD403" s="72" t="str">
        <f t="shared" ca="1" si="31"/>
        <v/>
      </c>
      <c r="AE403" s="72" t="str">
        <f t="shared" ca="1" si="32"/>
        <v/>
      </c>
      <c r="AF403" s="73"/>
      <c r="AG403" s="70"/>
      <c r="AH403" s="70"/>
      <c r="AI403" s="74" t="str">
        <f t="shared" si="33"/>
        <v/>
      </c>
      <c r="AJ403" s="75" t="str">
        <f t="shared" ca="1" si="34"/>
        <v/>
      </c>
      <c r="AK403" s="71"/>
      <c r="AL403" s="70"/>
      <c r="AM403" s="71"/>
      <c r="AN403" s="70"/>
    </row>
    <row r="404" spans="6:40" s="59" customFormat="1" x14ac:dyDescent="0.35">
      <c r="F404" s="65"/>
      <c r="J404" s="67"/>
      <c r="M404" s="68"/>
      <c r="W404" s="20" t="str">
        <f t="shared" si="30"/>
        <v/>
      </c>
      <c r="AA404" s="70"/>
      <c r="AB404" s="71"/>
      <c r="AC404" s="71"/>
      <c r="AD404" s="72" t="str">
        <f t="shared" ca="1" si="31"/>
        <v/>
      </c>
      <c r="AE404" s="72" t="str">
        <f t="shared" ca="1" si="32"/>
        <v/>
      </c>
      <c r="AF404" s="73"/>
      <c r="AG404" s="70"/>
      <c r="AH404" s="70"/>
      <c r="AI404" s="74" t="str">
        <f t="shared" si="33"/>
        <v/>
      </c>
      <c r="AJ404" s="75" t="str">
        <f t="shared" ca="1" si="34"/>
        <v/>
      </c>
      <c r="AK404" s="71"/>
      <c r="AL404" s="70"/>
      <c r="AM404" s="71"/>
      <c r="AN404" s="70"/>
    </row>
    <row r="405" spans="6:40" s="59" customFormat="1" x14ac:dyDescent="0.35">
      <c r="F405" s="65"/>
      <c r="J405" s="67"/>
      <c r="M405" s="68"/>
      <c r="W405" s="20" t="str">
        <f t="shared" si="30"/>
        <v/>
      </c>
      <c r="AA405" s="70"/>
      <c r="AB405" s="71"/>
      <c r="AC405" s="71"/>
      <c r="AD405" s="72" t="str">
        <f t="shared" ca="1" si="31"/>
        <v/>
      </c>
      <c r="AE405" s="72" t="str">
        <f t="shared" ca="1" si="32"/>
        <v/>
      </c>
      <c r="AF405" s="73"/>
      <c r="AG405" s="70"/>
      <c r="AH405" s="70"/>
      <c r="AI405" s="74" t="str">
        <f t="shared" si="33"/>
        <v/>
      </c>
      <c r="AJ405" s="75" t="str">
        <f t="shared" ca="1" si="34"/>
        <v/>
      </c>
      <c r="AK405" s="71"/>
      <c r="AL405" s="70"/>
      <c r="AM405" s="71"/>
      <c r="AN405" s="70"/>
    </row>
    <row r="406" spans="6:40" s="59" customFormat="1" x14ac:dyDescent="0.35">
      <c r="F406" s="65"/>
      <c r="J406" s="67"/>
      <c r="M406" s="68"/>
      <c r="W406" s="20" t="str">
        <f t="shared" si="30"/>
        <v/>
      </c>
      <c r="AA406" s="70"/>
      <c r="AB406" s="71"/>
      <c r="AC406" s="71"/>
      <c r="AD406" s="72" t="str">
        <f t="shared" ca="1" si="31"/>
        <v/>
      </c>
      <c r="AE406" s="72" t="str">
        <f t="shared" ca="1" si="32"/>
        <v/>
      </c>
      <c r="AF406" s="73"/>
      <c r="AG406" s="70"/>
      <c r="AH406" s="70"/>
      <c r="AI406" s="74" t="str">
        <f t="shared" si="33"/>
        <v/>
      </c>
      <c r="AJ406" s="75" t="str">
        <f t="shared" ca="1" si="34"/>
        <v/>
      </c>
      <c r="AK406" s="71"/>
      <c r="AL406" s="70"/>
      <c r="AM406" s="71"/>
      <c r="AN406" s="70"/>
    </row>
    <row r="407" spans="6:40" s="59" customFormat="1" x14ac:dyDescent="0.35">
      <c r="F407" s="65"/>
      <c r="J407" s="67"/>
      <c r="M407" s="68"/>
      <c r="W407" s="20" t="str">
        <f t="shared" si="30"/>
        <v/>
      </c>
      <c r="AA407" s="70"/>
      <c r="AB407" s="71"/>
      <c r="AC407" s="71"/>
      <c r="AD407" s="72" t="str">
        <f t="shared" ca="1" si="31"/>
        <v/>
      </c>
      <c r="AE407" s="72" t="str">
        <f t="shared" ca="1" si="32"/>
        <v/>
      </c>
      <c r="AF407" s="73"/>
      <c r="AG407" s="70"/>
      <c r="AH407" s="70"/>
      <c r="AI407" s="74" t="str">
        <f t="shared" si="33"/>
        <v/>
      </c>
      <c r="AJ407" s="75" t="str">
        <f t="shared" ca="1" si="34"/>
        <v/>
      </c>
      <c r="AK407" s="71"/>
      <c r="AL407" s="70"/>
      <c r="AM407" s="71"/>
      <c r="AN407" s="70"/>
    </row>
    <row r="408" spans="6:40" s="59" customFormat="1" x14ac:dyDescent="0.35">
      <c r="F408" s="65"/>
      <c r="J408" s="67"/>
      <c r="M408" s="68"/>
      <c r="W408" s="20" t="str">
        <f t="shared" si="30"/>
        <v/>
      </c>
      <c r="AA408" s="70"/>
      <c r="AB408" s="71"/>
      <c r="AC408" s="71"/>
      <c r="AD408" s="72" t="str">
        <f t="shared" ca="1" si="31"/>
        <v/>
      </c>
      <c r="AE408" s="72" t="str">
        <f t="shared" ca="1" si="32"/>
        <v/>
      </c>
      <c r="AF408" s="73"/>
      <c r="AG408" s="70"/>
      <c r="AH408" s="70"/>
      <c r="AI408" s="74" t="str">
        <f t="shared" si="33"/>
        <v/>
      </c>
      <c r="AJ408" s="75" t="str">
        <f t="shared" ca="1" si="34"/>
        <v/>
      </c>
      <c r="AK408" s="71"/>
      <c r="AL408" s="70"/>
      <c r="AM408" s="71"/>
      <c r="AN408" s="70"/>
    </row>
    <row r="409" spans="6:40" s="59" customFormat="1" x14ac:dyDescent="0.35">
      <c r="F409" s="65"/>
      <c r="J409" s="67"/>
      <c r="M409" s="68"/>
      <c r="W409" s="20" t="str">
        <f t="shared" si="30"/>
        <v/>
      </c>
      <c r="AA409" s="70"/>
      <c r="AB409" s="71"/>
      <c r="AC409" s="71"/>
      <c r="AD409" s="72" t="str">
        <f t="shared" ca="1" si="31"/>
        <v/>
      </c>
      <c r="AE409" s="72" t="str">
        <f t="shared" ca="1" si="32"/>
        <v/>
      </c>
      <c r="AF409" s="73"/>
      <c r="AG409" s="70"/>
      <c r="AH409" s="70"/>
      <c r="AI409" s="74" t="str">
        <f t="shared" si="33"/>
        <v/>
      </c>
      <c r="AJ409" s="75" t="str">
        <f t="shared" ca="1" si="34"/>
        <v/>
      </c>
      <c r="AK409" s="71"/>
      <c r="AL409" s="70"/>
      <c r="AM409" s="71"/>
      <c r="AN409" s="70"/>
    </row>
    <row r="410" spans="6:40" s="59" customFormat="1" x14ac:dyDescent="0.35">
      <c r="F410" s="65"/>
      <c r="J410" s="67"/>
      <c r="M410" s="68"/>
      <c r="W410" s="20" t="str">
        <f t="shared" si="30"/>
        <v/>
      </c>
      <c r="AA410" s="70"/>
      <c r="AB410" s="71"/>
      <c r="AC410" s="71"/>
      <c r="AD410" s="72" t="str">
        <f t="shared" ca="1" si="31"/>
        <v/>
      </c>
      <c r="AE410" s="72" t="str">
        <f t="shared" ca="1" si="32"/>
        <v/>
      </c>
      <c r="AF410" s="73"/>
      <c r="AG410" s="70"/>
      <c r="AH410" s="70"/>
      <c r="AI410" s="74" t="str">
        <f t="shared" si="33"/>
        <v/>
      </c>
      <c r="AJ410" s="75" t="str">
        <f t="shared" ca="1" si="34"/>
        <v/>
      </c>
      <c r="AK410" s="71"/>
      <c r="AL410" s="70"/>
      <c r="AM410" s="71"/>
      <c r="AN410" s="70"/>
    </row>
    <row r="411" spans="6:40" s="59" customFormat="1" x14ac:dyDescent="0.35">
      <c r="F411" s="65"/>
      <c r="J411" s="67"/>
      <c r="M411" s="68"/>
      <c r="W411" s="20" t="str">
        <f t="shared" si="30"/>
        <v/>
      </c>
      <c r="AA411" s="70"/>
      <c r="AB411" s="71"/>
      <c r="AC411" s="71"/>
      <c r="AD411" s="72" t="str">
        <f t="shared" ca="1" si="31"/>
        <v/>
      </c>
      <c r="AE411" s="72" t="str">
        <f t="shared" ca="1" si="32"/>
        <v/>
      </c>
      <c r="AF411" s="73"/>
      <c r="AG411" s="70"/>
      <c r="AH411" s="70"/>
      <c r="AI411" s="74" t="str">
        <f t="shared" si="33"/>
        <v/>
      </c>
      <c r="AJ411" s="75" t="str">
        <f t="shared" ca="1" si="34"/>
        <v/>
      </c>
      <c r="AK411" s="71"/>
      <c r="AL411" s="70"/>
      <c r="AM411" s="71"/>
      <c r="AN411" s="70"/>
    </row>
    <row r="412" spans="6:40" s="59" customFormat="1" x14ac:dyDescent="0.35">
      <c r="F412" s="65"/>
      <c r="J412" s="67"/>
      <c r="M412" s="68"/>
      <c r="W412" s="20" t="str">
        <f t="shared" si="30"/>
        <v/>
      </c>
      <c r="AA412" s="70"/>
      <c r="AB412" s="71"/>
      <c r="AC412" s="71"/>
      <c r="AD412" s="72" t="str">
        <f t="shared" ca="1" si="31"/>
        <v/>
      </c>
      <c r="AE412" s="72" t="str">
        <f t="shared" ca="1" si="32"/>
        <v/>
      </c>
      <c r="AF412" s="73"/>
      <c r="AG412" s="70"/>
      <c r="AH412" s="70"/>
      <c r="AI412" s="74" t="str">
        <f t="shared" si="33"/>
        <v/>
      </c>
      <c r="AJ412" s="75" t="str">
        <f t="shared" ca="1" si="34"/>
        <v/>
      </c>
      <c r="AK412" s="71"/>
      <c r="AL412" s="70"/>
      <c r="AM412" s="71"/>
      <c r="AN412" s="70"/>
    </row>
    <row r="413" spans="6:40" s="59" customFormat="1" x14ac:dyDescent="0.35">
      <c r="F413" s="65"/>
      <c r="J413" s="67"/>
      <c r="M413" s="68"/>
      <c r="W413" s="20" t="str">
        <f t="shared" si="30"/>
        <v/>
      </c>
      <c r="AA413" s="70"/>
      <c r="AB413" s="71"/>
      <c r="AC413" s="71"/>
      <c r="AD413" s="72" t="str">
        <f t="shared" ca="1" si="31"/>
        <v/>
      </c>
      <c r="AE413" s="72" t="str">
        <f t="shared" ca="1" si="32"/>
        <v/>
      </c>
      <c r="AF413" s="73"/>
      <c r="AG413" s="70"/>
      <c r="AH413" s="70"/>
      <c r="AI413" s="74" t="str">
        <f t="shared" si="33"/>
        <v/>
      </c>
      <c r="AJ413" s="75" t="str">
        <f t="shared" ca="1" si="34"/>
        <v/>
      </c>
      <c r="AK413" s="71"/>
      <c r="AL413" s="70"/>
      <c r="AM413" s="71"/>
      <c r="AN413" s="70"/>
    </row>
    <row r="414" spans="6:40" s="59" customFormat="1" x14ac:dyDescent="0.35">
      <c r="F414" s="65"/>
      <c r="J414" s="67"/>
      <c r="M414" s="68"/>
      <c r="W414" s="20" t="str">
        <f t="shared" si="30"/>
        <v/>
      </c>
      <c r="AA414" s="70"/>
      <c r="AB414" s="71"/>
      <c r="AC414" s="71"/>
      <c r="AD414" s="72" t="str">
        <f t="shared" ca="1" si="31"/>
        <v/>
      </c>
      <c r="AE414" s="72" t="str">
        <f t="shared" ca="1" si="32"/>
        <v/>
      </c>
      <c r="AF414" s="73"/>
      <c r="AG414" s="70"/>
      <c r="AH414" s="70"/>
      <c r="AI414" s="74" t="str">
        <f t="shared" si="33"/>
        <v/>
      </c>
      <c r="AJ414" s="75" t="str">
        <f t="shared" ca="1" si="34"/>
        <v/>
      </c>
      <c r="AK414" s="71"/>
      <c r="AL414" s="70"/>
      <c r="AM414" s="71"/>
      <c r="AN414" s="70"/>
    </row>
    <row r="415" spans="6:40" s="59" customFormat="1" x14ac:dyDescent="0.35">
      <c r="F415" s="65"/>
      <c r="J415" s="67"/>
      <c r="M415" s="68"/>
      <c r="W415" s="20" t="str">
        <f t="shared" si="30"/>
        <v/>
      </c>
      <c r="AA415" s="70"/>
      <c r="AB415" s="71"/>
      <c r="AC415" s="71"/>
      <c r="AD415" s="72" t="str">
        <f t="shared" ca="1" si="31"/>
        <v/>
      </c>
      <c r="AE415" s="72" t="str">
        <f t="shared" ca="1" si="32"/>
        <v/>
      </c>
      <c r="AF415" s="73"/>
      <c r="AG415" s="70"/>
      <c r="AH415" s="70"/>
      <c r="AI415" s="74" t="str">
        <f t="shared" si="33"/>
        <v/>
      </c>
      <c r="AJ415" s="75" t="str">
        <f t="shared" ca="1" si="34"/>
        <v/>
      </c>
      <c r="AK415" s="71"/>
      <c r="AL415" s="70"/>
      <c r="AM415" s="71"/>
      <c r="AN415" s="70"/>
    </row>
    <row r="416" spans="6:40" s="59" customFormat="1" x14ac:dyDescent="0.35">
      <c r="F416" s="65"/>
      <c r="J416" s="67"/>
      <c r="M416" s="68"/>
      <c r="W416" s="20" t="str">
        <f t="shared" si="30"/>
        <v/>
      </c>
      <c r="AA416" s="70"/>
      <c r="AB416" s="71"/>
      <c r="AC416" s="71"/>
      <c r="AD416" s="72" t="str">
        <f t="shared" ca="1" si="31"/>
        <v/>
      </c>
      <c r="AE416" s="72" t="str">
        <f t="shared" ca="1" si="32"/>
        <v/>
      </c>
      <c r="AF416" s="73"/>
      <c r="AG416" s="70"/>
      <c r="AH416" s="70"/>
      <c r="AI416" s="74" t="str">
        <f t="shared" si="33"/>
        <v/>
      </c>
      <c r="AJ416" s="75" t="str">
        <f t="shared" ca="1" si="34"/>
        <v/>
      </c>
      <c r="AK416" s="71"/>
      <c r="AL416" s="70"/>
      <c r="AM416" s="71"/>
      <c r="AN416" s="70"/>
    </row>
    <row r="417" spans="6:40" s="59" customFormat="1" x14ac:dyDescent="0.35">
      <c r="F417" s="65"/>
      <c r="J417" s="67"/>
      <c r="M417" s="68"/>
      <c r="W417" s="20" t="str">
        <f t="shared" si="30"/>
        <v/>
      </c>
      <c r="AA417" s="70"/>
      <c r="AB417" s="71"/>
      <c r="AC417" s="71"/>
      <c r="AD417" s="72" t="str">
        <f t="shared" ca="1" si="31"/>
        <v/>
      </c>
      <c r="AE417" s="72" t="str">
        <f t="shared" ca="1" si="32"/>
        <v/>
      </c>
      <c r="AF417" s="73"/>
      <c r="AG417" s="70"/>
      <c r="AH417" s="70"/>
      <c r="AI417" s="74" t="str">
        <f t="shared" si="33"/>
        <v/>
      </c>
      <c r="AJ417" s="75" t="str">
        <f t="shared" ca="1" si="34"/>
        <v/>
      </c>
      <c r="AK417" s="71"/>
      <c r="AL417" s="70"/>
      <c r="AM417" s="71"/>
      <c r="AN417" s="70"/>
    </row>
    <row r="418" spans="6:40" s="59" customFormat="1" x14ac:dyDescent="0.35">
      <c r="F418" s="65"/>
      <c r="J418" s="67"/>
      <c r="M418" s="68"/>
      <c r="W418" s="20" t="str">
        <f t="shared" si="30"/>
        <v/>
      </c>
      <c r="AA418" s="70"/>
      <c r="AB418" s="71"/>
      <c r="AC418" s="71"/>
      <c r="AD418" s="72" t="str">
        <f t="shared" ca="1" si="31"/>
        <v/>
      </c>
      <c r="AE418" s="72" t="str">
        <f t="shared" ca="1" si="32"/>
        <v/>
      </c>
      <c r="AF418" s="73"/>
      <c r="AG418" s="70"/>
      <c r="AH418" s="70"/>
      <c r="AI418" s="74" t="str">
        <f t="shared" si="33"/>
        <v/>
      </c>
      <c r="AJ418" s="75" t="str">
        <f t="shared" ca="1" si="34"/>
        <v/>
      </c>
      <c r="AK418" s="71"/>
      <c r="AL418" s="70"/>
      <c r="AM418" s="71"/>
      <c r="AN418" s="70"/>
    </row>
    <row r="419" spans="6:40" s="59" customFormat="1" x14ac:dyDescent="0.35">
      <c r="F419" s="65"/>
      <c r="J419" s="67"/>
      <c r="M419" s="68"/>
      <c r="W419" s="20" t="str">
        <f t="shared" si="30"/>
        <v/>
      </c>
      <c r="AA419" s="70"/>
      <c r="AB419" s="71"/>
      <c r="AC419" s="71"/>
      <c r="AD419" s="72" t="str">
        <f t="shared" ca="1" si="31"/>
        <v/>
      </c>
      <c r="AE419" s="72" t="str">
        <f t="shared" ca="1" si="32"/>
        <v/>
      </c>
      <c r="AF419" s="73"/>
      <c r="AG419" s="70"/>
      <c r="AH419" s="70"/>
      <c r="AI419" s="74" t="str">
        <f t="shared" si="33"/>
        <v/>
      </c>
      <c r="AJ419" s="75" t="str">
        <f t="shared" ca="1" si="34"/>
        <v/>
      </c>
      <c r="AK419" s="71"/>
      <c r="AL419" s="70"/>
      <c r="AM419" s="71"/>
      <c r="AN419" s="70"/>
    </row>
    <row r="420" spans="6:40" s="59" customFormat="1" x14ac:dyDescent="0.35">
      <c r="F420" s="65"/>
      <c r="J420" s="67"/>
      <c r="M420" s="68"/>
      <c r="W420" s="20" t="str">
        <f t="shared" si="30"/>
        <v/>
      </c>
      <c r="AA420" s="70"/>
      <c r="AB420" s="71"/>
      <c r="AC420" s="71"/>
      <c r="AD420" s="72" t="str">
        <f t="shared" ca="1" si="31"/>
        <v/>
      </c>
      <c r="AE420" s="72" t="str">
        <f t="shared" ca="1" si="32"/>
        <v/>
      </c>
      <c r="AF420" s="73"/>
      <c r="AG420" s="70"/>
      <c r="AH420" s="70"/>
      <c r="AI420" s="74" t="str">
        <f t="shared" si="33"/>
        <v/>
      </c>
      <c r="AJ420" s="75" t="str">
        <f t="shared" ca="1" si="34"/>
        <v/>
      </c>
      <c r="AK420" s="71"/>
      <c r="AL420" s="70"/>
      <c r="AM420" s="71"/>
      <c r="AN420" s="70"/>
    </row>
    <row r="421" spans="6:40" s="59" customFormat="1" x14ac:dyDescent="0.35">
      <c r="F421" s="65"/>
      <c r="J421" s="67"/>
      <c r="M421" s="68"/>
      <c r="W421" s="20" t="str">
        <f t="shared" si="30"/>
        <v/>
      </c>
      <c r="AA421" s="70"/>
      <c r="AB421" s="71"/>
      <c r="AC421" s="71"/>
      <c r="AD421" s="72" t="str">
        <f t="shared" ca="1" si="31"/>
        <v/>
      </c>
      <c r="AE421" s="72" t="str">
        <f t="shared" ca="1" si="32"/>
        <v/>
      </c>
      <c r="AF421" s="73"/>
      <c r="AG421" s="70"/>
      <c r="AH421" s="70"/>
      <c r="AI421" s="74" t="str">
        <f t="shared" si="33"/>
        <v/>
      </c>
      <c r="AJ421" s="75" t="str">
        <f t="shared" ca="1" si="34"/>
        <v/>
      </c>
      <c r="AK421" s="71"/>
      <c r="AL421" s="70"/>
      <c r="AM421" s="71"/>
      <c r="AN421" s="70"/>
    </row>
    <row r="422" spans="6:40" s="59" customFormat="1" x14ac:dyDescent="0.35">
      <c r="F422" s="65"/>
      <c r="J422" s="67"/>
      <c r="M422" s="68"/>
      <c r="W422" s="20" t="str">
        <f t="shared" si="30"/>
        <v/>
      </c>
      <c r="AA422" s="70"/>
      <c r="AB422" s="71"/>
      <c r="AC422" s="71"/>
      <c r="AD422" s="72" t="str">
        <f t="shared" ca="1" si="31"/>
        <v/>
      </c>
      <c r="AE422" s="72" t="str">
        <f t="shared" ca="1" si="32"/>
        <v/>
      </c>
      <c r="AF422" s="73"/>
      <c r="AG422" s="70"/>
      <c r="AH422" s="70"/>
      <c r="AI422" s="74" t="str">
        <f t="shared" si="33"/>
        <v/>
      </c>
      <c r="AJ422" s="75" t="str">
        <f t="shared" ca="1" si="34"/>
        <v/>
      </c>
      <c r="AK422" s="71"/>
      <c r="AL422" s="70"/>
      <c r="AM422" s="71"/>
      <c r="AN422" s="70"/>
    </row>
    <row r="423" spans="6:40" s="59" customFormat="1" x14ac:dyDescent="0.35">
      <c r="F423" s="65"/>
      <c r="J423" s="67"/>
      <c r="M423" s="68"/>
      <c r="W423" s="20" t="str">
        <f t="shared" si="30"/>
        <v/>
      </c>
      <c r="AA423" s="70"/>
      <c r="AB423" s="71"/>
      <c r="AC423" s="71"/>
      <c r="AD423" s="72" t="str">
        <f t="shared" ca="1" si="31"/>
        <v/>
      </c>
      <c r="AE423" s="72" t="str">
        <f t="shared" ca="1" si="32"/>
        <v/>
      </c>
      <c r="AF423" s="73"/>
      <c r="AG423" s="70"/>
      <c r="AH423" s="70"/>
      <c r="AI423" s="74" t="str">
        <f t="shared" si="33"/>
        <v/>
      </c>
      <c r="AJ423" s="75" t="str">
        <f t="shared" ca="1" si="34"/>
        <v/>
      </c>
      <c r="AK423" s="71"/>
      <c r="AL423" s="70"/>
      <c r="AM423" s="71"/>
      <c r="AN423" s="70"/>
    </row>
    <row r="424" spans="6:40" s="59" customFormat="1" x14ac:dyDescent="0.35">
      <c r="F424" s="65"/>
      <c r="J424" s="67"/>
      <c r="M424" s="68"/>
      <c r="W424" s="20" t="str">
        <f t="shared" si="30"/>
        <v/>
      </c>
      <c r="AA424" s="70"/>
      <c r="AB424" s="71"/>
      <c r="AC424" s="71"/>
      <c r="AD424" s="72" t="str">
        <f t="shared" ca="1" si="31"/>
        <v/>
      </c>
      <c r="AE424" s="72" t="str">
        <f t="shared" ca="1" si="32"/>
        <v/>
      </c>
      <c r="AF424" s="73"/>
      <c r="AG424" s="70"/>
      <c r="AH424" s="70"/>
      <c r="AI424" s="74" t="str">
        <f t="shared" si="33"/>
        <v/>
      </c>
      <c r="AJ424" s="75" t="str">
        <f t="shared" ca="1" si="34"/>
        <v/>
      </c>
      <c r="AK424" s="71"/>
      <c r="AL424" s="70"/>
      <c r="AM424" s="71"/>
      <c r="AN424" s="70"/>
    </row>
    <row r="425" spans="6:40" s="59" customFormat="1" x14ac:dyDescent="0.35">
      <c r="F425" s="65"/>
      <c r="J425" s="67"/>
      <c r="M425" s="68"/>
      <c r="W425" s="20" t="str">
        <f t="shared" si="30"/>
        <v/>
      </c>
      <c r="AA425" s="70"/>
      <c r="AB425" s="71"/>
      <c r="AC425" s="71"/>
      <c r="AD425" s="72" t="str">
        <f t="shared" ca="1" si="31"/>
        <v/>
      </c>
      <c r="AE425" s="72" t="str">
        <f t="shared" ca="1" si="32"/>
        <v/>
      </c>
      <c r="AF425" s="73"/>
      <c r="AG425" s="70"/>
      <c r="AH425" s="70"/>
      <c r="AI425" s="74" t="str">
        <f t="shared" si="33"/>
        <v/>
      </c>
      <c r="AJ425" s="75" t="str">
        <f t="shared" ca="1" si="34"/>
        <v/>
      </c>
      <c r="AK425" s="71"/>
      <c r="AL425" s="70"/>
      <c r="AM425" s="71"/>
      <c r="AN425" s="70"/>
    </row>
    <row r="426" spans="6:40" s="59" customFormat="1" x14ac:dyDescent="0.35">
      <c r="F426" s="65"/>
      <c r="J426" s="67"/>
      <c r="M426" s="68"/>
      <c r="W426" s="20" t="str">
        <f t="shared" si="30"/>
        <v/>
      </c>
      <c r="AA426" s="70"/>
      <c r="AB426" s="71"/>
      <c r="AC426" s="71"/>
      <c r="AD426" s="72" t="str">
        <f t="shared" ca="1" si="31"/>
        <v/>
      </c>
      <c r="AE426" s="72" t="str">
        <f t="shared" ca="1" si="32"/>
        <v/>
      </c>
      <c r="AF426" s="73"/>
      <c r="AG426" s="70"/>
      <c r="AH426" s="70"/>
      <c r="AI426" s="74" t="str">
        <f t="shared" si="33"/>
        <v/>
      </c>
      <c r="AJ426" s="75" t="str">
        <f t="shared" ca="1" si="34"/>
        <v/>
      </c>
      <c r="AK426" s="71"/>
      <c r="AL426" s="70"/>
      <c r="AM426" s="71"/>
      <c r="AN426" s="70"/>
    </row>
    <row r="427" spans="6:40" s="59" customFormat="1" x14ac:dyDescent="0.35">
      <c r="F427" s="65"/>
      <c r="J427" s="67"/>
      <c r="M427" s="68"/>
      <c r="W427" s="20" t="str">
        <f t="shared" si="30"/>
        <v/>
      </c>
      <c r="AA427" s="70"/>
      <c r="AB427" s="71"/>
      <c r="AC427" s="71"/>
      <c r="AD427" s="72" t="str">
        <f t="shared" ca="1" si="31"/>
        <v/>
      </c>
      <c r="AE427" s="72" t="str">
        <f t="shared" ca="1" si="32"/>
        <v/>
      </c>
      <c r="AF427" s="73"/>
      <c r="AG427" s="70"/>
      <c r="AH427" s="70"/>
      <c r="AI427" s="74" t="str">
        <f t="shared" si="33"/>
        <v/>
      </c>
      <c r="AJ427" s="75" t="str">
        <f t="shared" ca="1" si="34"/>
        <v/>
      </c>
      <c r="AK427" s="71"/>
      <c r="AL427" s="70"/>
      <c r="AM427" s="71"/>
      <c r="AN427" s="70"/>
    </row>
    <row r="428" spans="6:40" s="59" customFormat="1" x14ac:dyDescent="0.35">
      <c r="F428" s="65"/>
      <c r="J428" s="67"/>
      <c r="M428" s="68"/>
      <c r="W428" s="20" t="str">
        <f t="shared" si="30"/>
        <v/>
      </c>
      <c r="AA428" s="70"/>
      <c r="AB428" s="71"/>
      <c r="AC428" s="71"/>
      <c r="AD428" s="72" t="str">
        <f t="shared" ca="1" si="31"/>
        <v/>
      </c>
      <c r="AE428" s="72" t="str">
        <f t="shared" ca="1" si="32"/>
        <v/>
      </c>
      <c r="AF428" s="73"/>
      <c r="AG428" s="70"/>
      <c r="AH428" s="70"/>
      <c r="AI428" s="74" t="str">
        <f t="shared" si="33"/>
        <v/>
      </c>
      <c r="AJ428" s="75" t="str">
        <f t="shared" ca="1" si="34"/>
        <v/>
      </c>
      <c r="AK428" s="71"/>
      <c r="AL428" s="70"/>
      <c r="AM428" s="71"/>
      <c r="AN428" s="70"/>
    </row>
    <row r="429" spans="6:40" s="59" customFormat="1" x14ac:dyDescent="0.35">
      <c r="F429" s="65"/>
      <c r="J429" s="67"/>
      <c r="M429" s="68"/>
      <c r="W429" s="20" t="str">
        <f t="shared" si="30"/>
        <v/>
      </c>
      <c r="AA429" s="70"/>
      <c r="AB429" s="71"/>
      <c r="AC429" s="71"/>
      <c r="AD429" s="72" t="str">
        <f t="shared" ca="1" si="31"/>
        <v/>
      </c>
      <c r="AE429" s="72" t="str">
        <f t="shared" ca="1" si="32"/>
        <v/>
      </c>
      <c r="AF429" s="73"/>
      <c r="AG429" s="70"/>
      <c r="AH429" s="70"/>
      <c r="AI429" s="74" t="str">
        <f t="shared" si="33"/>
        <v/>
      </c>
      <c r="AJ429" s="75" t="str">
        <f t="shared" ca="1" si="34"/>
        <v/>
      </c>
      <c r="AK429" s="71"/>
      <c r="AL429" s="70"/>
      <c r="AM429" s="71"/>
      <c r="AN429" s="70"/>
    </row>
    <row r="430" spans="6:40" s="59" customFormat="1" x14ac:dyDescent="0.35">
      <c r="F430" s="65"/>
      <c r="J430" s="67"/>
      <c r="M430" s="68"/>
      <c r="W430" s="20" t="str">
        <f t="shared" si="30"/>
        <v/>
      </c>
      <c r="AA430" s="70"/>
      <c r="AB430" s="71"/>
      <c r="AC430" s="71"/>
      <c r="AD430" s="72" t="str">
        <f t="shared" ca="1" si="31"/>
        <v/>
      </c>
      <c r="AE430" s="72" t="str">
        <f t="shared" ca="1" si="32"/>
        <v/>
      </c>
      <c r="AF430" s="73"/>
      <c r="AG430" s="70"/>
      <c r="AH430" s="70"/>
      <c r="AI430" s="74" t="str">
        <f t="shared" si="33"/>
        <v/>
      </c>
      <c r="AJ430" s="75" t="str">
        <f t="shared" ca="1" si="34"/>
        <v/>
      </c>
      <c r="AK430" s="71"/>
      <c r="AL430" s="70"/>
      <c r="AM430" s="71"/>
      <c r="AN430" s="70"/>
    </row>
    <row r="431" spans="6:40" s="59" customFormat="1" x14ac:dyDescent="0.35">
      <c r="F431" s="65"/>
      <c r="J431" s="67"/>
      <c r="M431" s="68"/>
      <c r="W431" s="20" t="str">
        <f t="shared" si="30"/>
        <v/>
      </c>
      <c r="AA431" s="70"/>
      <c r="AB431" s="71"/>
      <c r="AC431" s="71"/>
      <c r="AD431" s="72" t="str">
        <f t="shared" ca="1" si="31"/>
        <v/>
      </c>
      <c r="AE431" s="72" t="str">
        <f t="shared" ca="1" si="32"/>
        <v/>
      </c>
      <c r="AF431" s="73"/>
      <c r="AG431" s="70"/>
      <c r="AH431" s="70"/>
      <c r="AI431" s="74" t="str">
        <f t="shared" si="33"/>
        <v/>
      </c>
      <c r="AJ431" s="75" t="str">
        <f t="shared" ca="1" si="34"/>
        <v/>
      </c>
      <c r="AK431" s="71"/>
      <c r="AL431" s="70"/>
      <c r="AM431" s="71"/>
      <c r="AN431" s="70"/>
    </row>
    <row r="432" spans="6:40" s="59" customFormat="1" x14ac:dyDescent="0.35">
      <c r="F432" s="65"/>
      <c r="J432" s="67"/>
      <c r="M432" s="68"/>
      <c r="W432" s="20" t="str">
        <f t="shared" si="30"/>
        <v/>
      </c>
      <c r="AA432" s="70"/>
      <c r="AB432" s="71"/>
      <c r="AC432" s="71"/>
      <c r="AD432" s="72" t="str">
        <f t="shared" ca="1" si="31"/>
        <v/>
      </c>
      <c r="AE432" s="72" t="str">
        <f t="shared" ca="1" si="32"/>
        <v/>
      </c>
      <c r="AF432" s="73"/>
      <c r="AG432" s="70"/>
      <c r="AH432" s="70"/>
      <c r="AI432" s="74" t="str">
        <f t="shared" si="33"/>
        <v/>
      </c>
      <c r="AJ432" s="75" t="str">
        <f t="shared" ca="1" si="34"/>
        <v/>
      </c>
      <c r="AK432" s="71"/>
      <c r="AL432" s="70"/>
      <c r="AM432" s="71"/>
      <c r="AN432" s="70"/>
    </row>
    <row r="433" spans="6:40" s="59" customFormat="1" x14ac:dyDescent="0.35">
      <c r="F433" s="65"/>
      <c r="J433" s="67"/>
      <c r="M433" s="68"/>
      <c r="W433" s="20" t="str">
        <f t="shared" si="30"/>
        <v/>
      </c>
      <c r="AA433" s="70"/>
      <c r="AB433" s="71"/>
      <c r="AC433" s="71"/>
      <c r="AD433" s="72" t="str">
        <f t="shared" ca="1" si="31"/>
        <v/>
      </c>
      <c r="AE433" s="72" t="str">
        <f t="shared" ca="1" si="32"/>
        <v/>
      </c>
      <c r="AF433" s="73"/>
      <c r="AG433" s="70"/>
      <c r="AH433" s="70"/>
      <c r="AI433" s="74" t="str">
        <f t="shared" si="33"/>
        <v/>
      </c>
      <c r="AJ433" s="75" t="str">
        <f t="shared" ca="1" si="34"/>
        <v/>
      </c>
      <c r="AK433" s="71"/>
      <c r="AL433" s="70"/>
      <c r="AM433" s="71"/>
      <c r="AN433" s="70"/>
    </row>
    <row r="434" spans="6:40" s="59" customFormat="1" x14ac:dyDescent="0.35">
      <c r="F434" s="65"/>
      <c r="J434" s="67"/>
      <c r="M434" s="68"/>
      <c r="W434" s="20" t="str">
        <f t="shared" si="30"/>
        <v/>
      </c>
      <c r="AA434" s="70"/>
      <c r="AB434" s="71"/>
      <c r="AC434" s="71"/>
      <c r="AD434" s="72" t="str">
        <f t="shared" ca="1" si="31"/>
        <v/>
      </c>
      <c r="AE434" s="72" t="str">
        <f t="shared" ca="1" si="32"/>
        <v/>
      </c>
      <c r="AF434" s="73"/>
      <c r="AG434" s="70"/>
      <c r="AH434" s="70"/>
      <c r="AI434" s="74" t="str">
        <f t="shared" si="33"/>
        <v/>
      </c>
      <c r="AJ434" s="75" t="str">
        <f t="shared" ca="1" si="34"/>
        <v/>
      </c>
      <c r="AK434" s="71"/>
      <c r="AL434" s="70"/>
      <c r="AM434" s="71"/>
      <c r="AN434" s="70"/>
    </row>
    <row r="435" spans="6:40" s="59" customFormat="1" x14ac:dyDescent="0.35">
      <c r="F435" s="65"/>
      <c r="J435" s="67"/>
      <c r="M435" s="68"/>
      <c r="W435" s="20" t="str">
        <f t="shared" si="30"/>
        <v/>
      </c>
      <c r="AA435" s="70"/>
      <c r="AB435" s="71"/>
      <c r="AC435" s="71"/>
      <c r="AD435" s="72" t="str">
        <f t="shared" ca="1" si="31"/>
        <v/>
      </c>
      <c r="AE435" s="72" t="str">
        <f t="shared" ca="1" si="32"/>
        <v/>
      </c>
      <c r="AF435" s="73"/>
      <c r="AG435" s="70"/>
      <c r="AH435" s="70"/>
      <c r="AI435" s="74" t="str">
        <f t="shared" si="33"/>
        <v/>
      </c>
      <c r="AJ435" s="75" t="str">
        <f t="shared" ca="1" si="34"/>
        <v/>
      </c>
      <c r="AK435" s="71"/>
      <c r="AL435" s="70"/>
      <c r="AM435" s="71"/>
      <c r="AN435" s="70"/>
    </row>
    <row r="436" spans="6:40" s="59" customFormat="1" x14ac:dyDescent="0.35">
      <c r="F436" s="65"/>
      <c r="J436" s="67"/>
      <c r="M436" s="68"/>
      <c r="W436" s="20" t="str">
        <f t="shared" si="30"/>
        <v/>
      </c>
      <c r="AA436" s="70"/>
      <c r="AB436" s="71"/>
      <c r="AC436" s="71"/>
      <c r="AD436" s="72" t="str">
        <f t="shared" ca="1" si="31"/>
        <v/>
      </c>
      <c r="AE436" s="72" t="str">
        <f t="shared" ca="1" si="32"/>
        <v/>
      </c>
      <c r="AF436" s="73"/>
      <c r="AG436" s="70"/>
      <c r="AH436" s="70"/>
      <c r="AI436" s="74" t="str">
        <f t="shared" si="33"/>
        <v/>
      </c>
      <c r="AJ436" s="75" t="str">
        <f t="shared" ca="1" si="34"/>
        <v/>
      </c>
      <c r="AK436" s="71"/>
      <c r="AL436" s="70"/>
      <c r="AM436" s="71"/>
      <c r="AN436" s="70"/>
    </row>
    <row r="437" spans="6:40" s="59" customFormat="1" x14ac:dyDescent="0.35">
      <c r="F437" s="65"/>
      <c r="J437" s="67"/>
      <c r="M437" s="68"/>
      <c r="W437" s="20" t="str">
        <f t="shared" si="30"/>
        <v/>
      </c>
      <c r="AA437" s="70"/>
      <c r="AB437" s="71"/>
      <c r="AC437" s="71"/>
      <c r="AD437" s="72" t="str">
        <f t="shared" ca="1" si="31"/>
        <v/>
      </c>
      <c r="AE437" s="72" t="str">
        <f t="shared" ca="1" si="32"/>
        <v/>
      </c>
      <c r="AF437" s="73"/>
      <c r="AG437" s="70"/>
      <c r="AH437" s="70"/>
      <c r="AI437" s="74" t="str">
        <f t="shared" si="33"/>
        <v/>
      </c>
      <c r="AJ437" s="75" t="str">
        <f t="shared" ca="1" si="34"/>
        <v/>
      </c>
      <c r="AK437" s="71"/>
      <c r="AL437" s="70"/>
      <c r="AM437" s="71"/>
      <c r="AN437" s="70"/>
    </row>
    <row r="438" spans="6:40" s="59" customFormat="1" x14ac:dyDescent="0.35">
      <c r="F438" s="65"/>
      <c r="J438" s="67"/>
      <c r="M438" s="68"/>
      <c r="W438" s="20" t="str">
        <f t="shared" si="30"/>
        <v/>
      </c>
      <c r="AA438" s="70"/>
      <c r="AB438" s="71"/>
      <c r="AC438" s="71"/>
      <c r="AD438" s="72" t="str">
        <f t="shared" ca="1" si="31"/>
        <v/>
      </c>
      <c r="AE438" s="72" t="str">
        <f t="shared" ca="1" si="32"/>
        <v/>
      </c>
      <c r="AF438" s="73"/>
      <c r="AG438" s="70"/>
      <c r="AH438" s="70"/>
      <c r="AI438" s="74" t="str">
        <f t="shared" si="33"/>
        <v/>
      </c>
      <c r="AJ438" s="75" t="str">
        <f t="shared" ca="1" si="34"/>
        <v/>
      </c>
      <c r="AK438" s="71"/>
      <c r="AL438" s="70"/>
      <c r="AM438" s="71"/>
      <c r="AN438" s="70"/>
    </row>
    <row r="439" spans="6:40" s="59" customFormat="1" x14ac:dyDescent="0.35">
      <c r="F439" s="65"/>
      <c r="J439" s="67"/>
      <c r="M439" s="68"/>
      <c r="W439" s="20" t="str">
        <f t="shared" si="30"/>
        <v/>
      </c>
      <c r="AA439" s="70"/>
      <c r="AB439" s="71"/>
      <c r="AC439" s="71"/>
      <c r="AD439" s="72" t="str">
        <f t="shared" ca="1" si="31"/>
        <v/>
      </c>
      <c r="AE439" s="72" t="str">
        <f t="shared" ca="1" si="32"/>
        <v/>
      </c>
      <c r="AF439" s="73"/>
      <c r="AG439" s="70"/>
      <c r="AH439" s="70"/>
      <c r="AI439" s="74" t="str">
        <f t="shared" si="33"/>
        <v/>
      </c>
      <c r="AJ439" s="75" t="str">
        <f t="shared" ca="1" si="34"/>
        <v/>
      </c>
      <c r="AK439" s="71"/>
      <c r="AL439" s="70"/>
      <c r="AM439" s="71"/>
      <c r="AN439" s="70"/>
    </row>
    <row r="440" spans="6:40" s="59" customFormat="1" x14ac:dyDescent="0.35">
      <c r="F440" s="65"/>
      <c r="J440" s="67"/>
      <c r="M440" s="68"/>
      <c r="W440" s="20" t="str">
        <f t="shared" si="30"/>
        <v/>
      </c>
      <c r="AA440" s="70"/>
      <c r="AB440" s="71"/>
      <c r="AC440" s="71"/>
      <c r="AD440" s="72" t="str">
        <f t="shared" ca="1" si="31"/>
        <v/>
      </c>
      <c r="AE440" s="72" t="str">
        <f t="shared" ca="1" si="32"/>
        <v/>
      </c>
      <c r="AF440" s="73"/>
      <c r="AG440" s="70"/>
      <c r="AH440" s="70"/>
      <c r="AI440" s="74" t="str">
        <f t="shared" si="33"/>
        <v/>
      </c>
      <c r="AJ440" s="75" t="str">
        <f t="shared" ca="1" si="34"/>
        <v/>
      </c>
      <c r="AK440" s="71"/>
      <c r="AL440" s="70"/>
      <c r="AM440" s="71"/>
      <c r="AN440" s="70"/>
    </row>
    <row r="441" spans="6:40" s="59" customFormat="1" x14ac:dyDescent="0.35">
      <c r="F441" s="65"/>
      <c r="J441" s="67"/>
      <c r="M441" s="68"/>
      <c r="W441" s="20" t="str">
        <f t="shared" si="30"/>
        <v/>
      </c>
      <c r="AA441" s="70"/>
      <c r="AB441" s="71"/>
      <c r="AC441" s="71"/>
      <c r="AD441" s="72" t="str">
        <f t="shared" ca="1" si="31"/>
        <v/>
      </c>
      <c r="AE441" s="72" t="str">
        <f t="shared" ca="1" si="32"/>
        <v/>
      </c>
      <c r="AF441" s="73"/>
      <c r="AG441" s="70"/>
      <c r="AH441" s="70"/>
      <c r="AI441" s="74" t="str">
        <f t="shared" si="33"/>
        <v/>
      </c>
      <c r="AJ441" s="75" t="str">
        <f t="shared" ca="1" si="34"/>
        <v/>
      </c>
      <c r="AK441" s="71"/>
      <c r="AL441" s="70"/>
      <c r="AM441" s="71"/>
      <c r="AN441" s="70"/>
    </row>
    <row r="442" spans="6:40" s="59" customFormat="1" x14ac:dyDescent="0.35">
      <c r="F442" s="65"/>
      <c r="J442" s="67"/>
      <c r="M442" s="68"/>
      <c r="W442" s="20" t="str">
        <f t="shared" si="30"/>
        <v/>
      </c>
      <c r="AA442" s="70"/>
      <c r="AB442" s="71"/>
      <c r="AC442" s="71"/>
      <c r="AD442" s="72" t="str">
        <f t="shared" ca="1" si="31"/>
        <v/>
      </c>
      <c r="AE442" s="72" t="str">
        <f t="shared" ca="1" si="32"/>
        <v/>
      </c>
      <c r="AF442" s="73"/>
      <c r="AG442" s="70"/>
      <c r="AH442" s="70"/>
      <c r="AI442" s="74" t="str">
        <f t="shared" si="33"/>
        <v/>
      </c>
      <c r="AJ442" s="75" t="str">
        <f t="shared" ca="1" si="34"/>
        <v/>
      </c>
      <c r="AK442" s="71"/>
      <c r="AL442" s="70"/>
      <c r="AM442" s="71"/>
      <c r="AN442" s="70"/>
    </row>
    <row r="443" spans="6:40" s="59" customFormat="1" x14ac:dyDescent="0.35">
      <c r="F443" s="65"/>
      <c r="J443" s="67"/>
      <c r="M443" s="68"/>
      <c r="W443" s="20" t="str">
        <f t="shared" si="30"/>
        <v/>
      </c>
      <c r="AA443" s="70"/>
      <c r="AB443" s="71"/>
      <c r="AC443" s="71"/>
      <c r="AD443" s="72" t="str">
        <f t="shared" ca="1" si="31"/>
        <v/>
      </c>
      <c r="AE443" s="72" t="str">
        <f t="shared" ca="1" si="32"/>
        <v/>
      </c>
      <c r="AF443" s="73"/>
      <c r="AG443" s="70"/>
      <c r="AH443" s="70"/>
      <c r="AI443" s="74" t="str">
        <f t="shared" si="33"/>
        <v/>
      </c>
      <c r="AJ443" s="75" t="str">
        <f t="shared" ca="1" si="34"/>
        <v/>
      </c>
      <c r="AK443" s="71"/>
      <c r="AL443" s="70"/>
      <c r="AM443" s="71"/>
      <c r="AN443" s="70"/>
    </row>
    <row r="444" spans="6:40" s="59" customFormat="1" x14ac:dyDescent="0.35">
      <c r="F444" s="65"/>
      <c r="J444" s="67"/>
      <c r="M444" s="68"/>
      <c r="W444" s="20" t="str">
        <f t="shared" si="30"/>
        <v/>
      </c>
      <c r="AA444" s="70"/>
      <c r="AB444" s="71"/>
      <c r="AC444" s="71"/>
      <c r="AD444" s="72" t="str">
        <f t="shared" ca="1" si="31"/>
        <v/>
      </c>
      <c r="AE444" s="72" t="str">
        <f t="shared" ca="1" si="32"/>
        <v/>
      </c>
      <c r="AF444" s="73"/>
      <c r="AG444" s="70"/>
      <c r="AH444" s="70"/>
      <c r="AI444" s="74" t="str">
        <f t="shared" si="33"/>
        <v/>
      </c>
      <c r="AJ444" s="75" t="str">
        <f t="shared" ca="1" si="34"/>
        <v/>
      </c>
      <c r="AK444" s="71"/>
      <c r="AL444" s="70"/>
      <c r="AM444" s="71"/>
      <c r="AN444" s="70"/>
    </row>
    <row r="445" spans="6:40" s="59" customFormat="1" x14ac:dyDescent="0.35">
      <c r="F445" s="65"/>
      <c r="J445" s="67"/>
      <c r="M445" s="68"/>
      <c r="W445" s="20" t="str">
        <f t="shared" si="30"/>
        <v/>
      </c>
      <c r="AA445" s="70"/>
      <c r="AB445" s="71"/>
      <c r="AC445" s="71"/>
      <c r="AD445" s="72" t="str">
        <f t="shared" ca="1" si="31"/>
        <v/>
      </c>
      <c r="AE445" s="72" t="str">
        <f t="shared" ca="1" si="32"/>
        <v/>
      </c>
      <c r="AF445" s="73"/>
      <c r="AG445" s="70"/>
      <c r="AH445" s="70"/>
      <c r="AI445" s="74" t="str">
        <f t="shared" si="33"/>
        <v/>
      </c>
      <c r="AJ445" s="75" t="str">
        <f t="shared" ca="1" si="34"/>
        <v/>
      </c>
      <c r="AK445" s="71"/>
      <c r="AL445" s="70"/>
      <c r="AM445" s="71"/>
      <c r="AN445" s="70"/>
    </row>
    <row r="446" spans="6:40" s="59" customFormat="1" x14ac:dyDescent="0.35">
      <c r="F446" s="65"/>
      <c r="J446" s="67"/>
      <c r="M446" s="68"/>
      <c r="W446" s="20" t="str">
        <f t="shared" si="30"/>
        <v/>
      </c>
      <c r="AA446" s="70"/>
      <c r="AB446" s="71"/>
      <c r="AC446" s="71"/>
      <c r="AD446" s="72" t="str">
        <f t="shared" ca="1" si="31"/>
        <v/>
      </c>
      <c r="AE446" s="72" t="str">
        <f t="shared" ca="1" si="32"/>
        <v/>
      </c>
      <c r="AF446" s="73"/>
      <c r="AG446" s="70"/>
      <c r="AH446" s="70"/>
      <c r="AI446" s="74" t="str">
        <f t="shared" si="33"/>
        <v/>
      </c>
      <c r="AJ446" s="75" t="str">
        <f t="shared" ca="1" si="34"/>
        <v/>
      </c>
      <c r="AK446" s="71"/>
      <c r="AL446" s="70"/>
      <c r="AM446" s="71"/>
      <c r="AN446" s="70"/>
    </row>
    <row r="447" spans="6:40" s="59" customFormat="1" x14ac:dyDescent="0.35">
      <c r="F447" s="65"/>
      <c r="J447" s="67"/>
      <c r="M447" s="68"/>
      <c r="W447" s="20" t="str">
        <f t="shared" si="30"/>
        <v/>
      </c>
      <c r="AA447" s="70"/>
      <c r="AB447" s="71"/>
      <c r="AC447" s="71"/>
      <c r="AD447" s="72" t="str">
        <f t="shared" ca="1" si="31"/>
        <v/>
      </c>
      <c r="AE447" s="72" t="str">
        <f t="shared" ca="1" si="32"/>
        <v/>
      </c>
      <c r="AF447" s="73"/>
      <c r="AG447" s="70"/>
      <c r="AH447" s="70"/>
      <c r="AI447" s="74" t="str">
        <f t="shared" si="33"/>
        <v/>
      </c>
      <c r="AJ447" s="75" t="str">
        <f t="shared" ca="1" si="34"/>
        <v/>
      </c>
      <c r="AK447" s="71"/>
      <c r="AL447" s="70"/>
      <c r="AM447" s="71"/>
      <c r="AN447" s="70"/>
    </row>
    <row r="448" spans="6:40" s="59" customFormat="1" x14ac:dyDescent="0.35">
      <c r="F448" s="65"/>
      <c r="J448" s="67"/>
      <c r="M448" s="68"/>
      <c r="W448" s="20" t="str">
        <f t="shared" si="30"/>
        <v/>
      </c>
      <c r="AA448" s="70"/>
      <c r="AB448" s="71"/>
      <c r="AC448" s="71"/>
      <c r="AD448" s="72" t="str">
        <f t="shared" ca="1" si="31"/>
        <v/>
      </c>
      <c r="AE448" s="72" t="str">
        <f t="shared" ca="1" si="32"/>
        <v/>
      </c>
      <c r="AF448" s="73"/>
      <c r="AG448" s="70"/>
      <c r="AH448" s="70"/>
      <c r="AI448" s="74" t="str">
        <f t="shared" si="33"/>
        <v/>
      </c>
      <c r="AJ448" s="75" t="str">
        <f t="shared" ca="1" si="34"/>
        <v/>
      </c>
      <c r="AK448" s="71"/>
      <c r="AL448" s="70"/>
      <c r="AM448" s="71"/>
      <c r="AN448" s="70"/>
    </row>
    <row r="449" spans="6:40" s="59" customFormat="1" x14ac:dyDescent="0.35">
      <c r="F449" s="65"/>
      <c r="J449" s="67"/>
      <c r="M449" s="68"/>
      <c r="W449" s="20" t="str">
        <f t="shared" si="30"/>
        <v/>
      </c>
      <c r="AA449" s="70"/>
      <c r="AB449" s="71"/>
      <c r="AC449" s="71"/>
      <c r="AD449" s="72" t="str">
        <f t="shared" ca="1" si="31"/>
        <v/>
      </c>
      <c r="AE449" s="72" t="str">
        <f t="shared" ca="1" si="32"/>
        <v/>
      </c>
      <c r="AF449" s="73"/>
      <c r="AG449" s="70"/>
      <c r="AH449" s="70"/>
      <c r="AI449" s="74" t="str">
        <f t="shared" si="33"/>
        <v/>
      </c>
      <c r="AJ449" s="75" t="str">
        <f t="shared" ca="1" si="34"/>
        <v/>
      </c>
      <c r="AK449" s="71"/>
      <c r="AL449" s="70"/>
      <c r="AM449" s="71"/>
      <c r="AN449" s="70"/>
    </row>
    <row r="450" spans="6:40" s="59" customFormat="1" x14ac:dyDescent="0.35">
      <c r="F450" s="65"/>
      <c r="J450" s="67"/>
      <c r="M450" s="68"/>
      <c r="W450" s="20" t="str">
        <f t="shared" si="30"/>
        <v/>
      </c>
      <c r="AA450" s="70"/>
      <c r="AB450" s="71"/>
      <c r="AC450" s="71"/>
      <c r="AD450" s="72" t="str">
        <f t="shared" ca="1" si="31"/>
        <v/>
      </c>
      <c r="AE450" s="72" t="str">
        <f t="shared" ca="1" si="32"/>
        <v/>
      </c>
      <c r="AF450" s="73"/>
      <c r="AG450" s="70"/>
      <c r="AH450" s="70"/>
      <c r="AI450" s="74" t="str">
        <f t="shared" si="33"/>
        <v/>
      </c>
      <c r="AJ450" s="75" t="str">
        <f t="shared" ca="1" si="34"/>
        <v/>
      </c>
      <c r="AK450" s="71"/>
      <c r="AL450" s="70"/>
      <c r="AM450" s="71"/>
      <c r="AN450" s="70"/>
    </row>
    <row r="451" spans="6:40" s="59" customFormat="1" x14ac:dyDescent="0.35">
      <c r="F451" s="65"/>
      <c r="J451" s="67"/>
      <c r="M451" s="68"/>
      <c r="W451" s="20" t="str">
        <f t="shared" si="30"/>
        <v/>
      </c>
      <c r="AA451" s="70"/>
      <c r="AB451" s="71"/>
      <c r="AC451" s="71"/>
      <c r="AD451" s="72" t="str">
        <f t="shared" ca="1" si="31"/>
        <v/>
      </c>
      <c r="AE451" s="72" t="str">
        <f t="shared" ca="1" si="32"/>
        <v/>
      </c>
      <c r="AF451" s="73"/>
      <c r="AG451" s="70"/>
      <c r="AH451" s="70"/>
      <c r="AI451" s="74" t="str">
        <f t="shared" si="33"/>
        <v/>
      </c>
      <c r="AJ451" s="75" t="str">
        <f t="shared" ca="1" si="34"/>
        <v/>
      </c>
      <c r="AK451" s="71"/>
      <c r="AL451" s="70"/>
      <c r="AM451" s="71"/>
      <c r="AN451" s="70"/>
    </row>
    <row r="452" spans="6:40" s="59" customFormat="1" x14ac:dyDescent="0.35">
      <c r="F452" s="65"/>
      <c r="J452" s="67"/>
      <c r="M452" s="68"/>
      <c r="W452" s="20" t="str">
        <f t="shared" si="30"/>
        <v/>
      </c>
      <c r="AA452" s="70"/>
      <c r="AB452" s="71"/>
      <c r="AC452" s="71"/>
      <c r="AD452" s="72" t="str">
        <f t="shared" ca="1" si="31"/>
        <v/>
      </c>
      <c r="AE452" s="72" t="str">
        <f t="shared" ca="1" si="32"/>
        <v/>
      </c>
      <c r="AF452" s="73"/>
      <c r="AG452" s="70"/>
      <c r="AH452" s="70"/>
      <c r="AI452" s="74" t="str">
        <f t="shared" si="33"/>
        <v/>
      </c>
      <c r="AJ452" s="75" t="str">
        <f t="shared" ca="1" si="34"/>
        <v/>
      </c>
      <c r="AK452" s="71"/>
      <c r="AL452" s="70"/>
      <c r="AM452" s="71"/>
      <c r="AN452" s="70"/>
    </row>
    <row r="453" spans="6:40" s="59" customFormat="1" x14ac:dyDescent="0.35">
      <c r="F453" s="65"/>
      <c r="J453" s="67"/>
      <c r="M453" s="68"/>
      <c r="W453" s="20" t="str">
        <f t="shared" si="30"/>
        <v/>
      </c>
      <c r="AA453" s="70"/>
      <c r="AB453" s="71"/>
      <c r="AC453" s="71"/>
      <c r="AD453" s="72" t="str">
        <f t="shared" ca="1" si="31"/>
        <v/>
      </c>
      <c r="AE453" s="72" t="str">
        <f t="shared" ca="1" si="32"/>
        <v/>
      </c>
      <c r="AF453" s="73"/>
      <c r="AG453" s="70"/>
      <c r="AH453" s="70"/>
      <c r="AI453" s="74" t="str">
        <f t="shared" si="33"/>
        <v/>
      </c>
      <c r="AJ453" s="75" t="str">
        <f t="shared" ca="1" si="34"/>
        <v/>
      </c>
      <c r="AK453" s="71"/>
      <c r="AL453" s="70"/>
      <c r="AM453" s="71"/>
      <c r="AN453" s="70"/>
    </row>
    <row r="454" spans="6:40" s="59" customFormat="1" x14ac:dyDescent="0.35">
      <c r="F454" s="65"/>
      <c r="J454" s="67"/>
      <c r="M454" s="68"/>
      <c r="W454" s="20" t="str">
        <f t="shared" si="30"/>
        <v/>
      </c>
      <c r="AA454" s="70"/>
      <c r="AB454" s="71"/>
      <c r="AC454" s="71"/>
      <c r="AD454" s="72" t="str">
        <f t="shared" ca="1" si="31"/>
        <v/>
      </c>
      <c r="AE454" s="72" t="str">
        <f t="shared" ca="1" si="32"/>
        <v/>
      </c>
      <c r="AF454" s="73"/>
      <c r="AG454" s="70"/>
      <c r="AH454" s="70"/>
      <c r="AI454" s="74" t="str">
        <f t="shared" si="33"/>
        <v/>
      </c>
      <c r="AJ454" s="75" t="str">
        <f t="shared" ca="1" si="34"/>
        <v/>
      </c>
      <c r="AK454" s="71"/>
      <c r="AL454" s="70"/>
      <c r="AM454" s="71"/>
      <c r="AN454" s="70"/>
    </row>
    <row r="455" spans="6:40" s="59" customFormat="1" x14ac:dyDescent="0.35">
      <c r="F455" s="65"/>
      <c r="J455" s="67"/>
      <c r="M455" s="68"/>
      <c r="W455" s="20" t="str">
        <f t="shared" ref="W455:W501" si="35">IFERROR(VLOOKUP($V455,$AU$5:$AV$13,2,0),"")</f>
        <v/>
      </c>
      <c r="AA455" s="70"/>
      <c r="AB455" s="71"/>
      <c r="AC455" s="71"/>
      <c r="AD455" s="72" t="str">
        <f t="shared" ref="AD455:AD500" ca="1" si="36">IF($U455="Closed","",(IF($AC455=0,"",(IF(OR($AI455="",$AI455="Enter the date"),NETWORKDAYS($AC455,TODAY()),NETWORKDAYS($AC455,$AI455))))))</f>
        <v/>
      </c>
      <c r="AE455" s="72" t="str">
        <f t="shared" ref="AE455:AE500" ca="1" si="37">IF(AND($U455="Open",OR($AI455="",$AI455="Enter the date")),$AD455,IFERROR($AD455+$AJ455,""))</f>
        <v/>
      </c>
      <c r="AF455" s="73"/>
      <c r="AG455" s="70"/>
      <c r="AH455" s="70"/>
      <c r="AI455" s="74" t="str">
        <f t="shared" ref="AI455:AI500" si="38">IF($AC455="","",(IF($AH455=0,IF($AG455=0,IF($AF455=0,"Enter the date",$AF455),$AG455),$AH455)))</f>
        <v/>
      </c>
      <c r="AJ455" s="75" t="str">
        <f t="shared" ref="AJ455:AJ500" ca="1" si="39">IF($U455="Closed","",IF(AI455="","",(IF($AI455="Enter The date","",(NETWORKDAYS($AI455,TODAY()))-1))))</f>
        <v/>
      </c>
      <c r="AK455" s="71"/>
      <c r="AL455" s="70"/>
      <c r="AM455" s="71"/>
      <c r="AN455" s="70"/>
    </row>
    <row r="456" spans="6:40" s="59" customFormat="1" x14ac:dyDescent="0.35">
      <c r="F456" s="65"/>
      <c r="J456" s="67"/>
      <c r="M456" s="68"/>
      <c r="W456" s="20" t="str">
        <f t="shared" si="35"/>
        <v/>
      </c>
      <c r="AA456" s="70"/>
      <c r="AB456" s="71"/>
      <c r="AC456" s="71"/>
      <c r="AD456" s="72" t="str">
        <f t="shared" ca="1" si="36"/>
        <v/>
      </c>
      <c r="AE456" s="72" t="str">
        <f t="shared" ca="1" si="37"/>
        <v/>
      </c>
      <c r="AF456" s="73"/>
      <c r="AG456" s="70"/>
      <c r="AH456" s="70"/>
      <c r="AI456" s="74" t="str">
        <f t="shared" si="38"/>
        <v/>
      </c>
      <c r="AJ456" s="75" t="str">
        <f t="shared" ca="1" si="39"/>
        <v/>
      </c>
      <c r="AK456" s="71"/>
      <c r="AL456" s="70"/>
      <c r="AM456" s="71"/>
      <c r="AN456" s="70"/>
    </row>
    <row r="457" spans="6:40" s="59" customFormat="1" x14ac:dyDescent="0.35">
      <c r="F457" s="65"/>
      <c r="J457" s="67"/>
      <c r="M457" s="68"/>
      <c r="W457" s="20" t="str">
        <f t="shared" si="35"/>
        <v/>
      </c>
      <c r="AA457" s="70"/>
      <c r="AB457" s="71"/>
      <c r="AC457" s="71"/>
      <c r="AD457" s="72" t="str">
        <f t="shared" ca="1" si="36"/>
        <v/>
      </c>
      <c r="AE457" s="72" t="str">
        <f t="shared" ca="1" si="37"/>
        <v/>
      </c>
      <c r="AF457" s="73"/>
      <c r="AG457" s="70"/>
      <c r="AH457" s="70"/>
      <c r="AI457" s="74" t="str">
        <f t="shared" si="38"/>
        <v/>
      </c>
      <c r="AJ457" s="75" t="str">
        <f t="shared" ca="1" si="39"/>
        <v/>
      </c>
      <c r="AK457" s="71"/>
      <c r="AL457" s="70"/>
      <c r="AM457" s="71"/>
      <c r="AN457" s="70"/>
    </row>
    <row r="458" spans="6:40" s="59" customFormat="1" x14ac:dyDescent="0.35">
      <c r="F458" s="65"/>
      <c r="J458" s="67"/>
      <c r="M458" s="68"/>
      <c r="W458" s="20" t="str">
        <f t="shared" si="35"/>
        <v/>
      </c>
      <c r="AA458" s="70"/>
      <c r="AB458" s="71"/>
      <c r="AC458" s="71"/>
      <c r="AD458" s="72" t="str">
        <f t="shared" ca="1" si="36"/>
        <v/>
      </c>
      <c r="AE458" s="72" t="str">
        <f t="shared" ca="1" si="37"/>
        <v/>
      </c>
      <c r="AF458" s="73"/>
      <c r="AG458" s="70"/>
      <c r="AH458" s="70"/>
      <c r="AI458" s="74" t="str">
        <f t="shared" si="38"/>
        <v/>
      </c>
      <c r="AJ458" s="75" t="str">
        <f t="shared" ca="1" si="39"/>
        <v/>
      </c>
      <c r="AK458" s="71"/>
      <c r="AL458" s="70"/>
      <c r="AM458" s="71"/>
      <c r="AN458" s="70"/>
    </row>
    <row r="459" spans="6:40" s="59" customFormat="1" x14ac:dyDescent="0.35">
      <c r="F459" s="65"/>
      <c r="J459" s="67"/>
      <c r="M459" s="68"/>
      <c r="W459" s="20" t="str">
        <f t="shared" si="35"/>
        <v/>
      </c>
      <c r="AA459" s="70"/>
      <c r="AB459" s="71"/>
      <c r="AC459" s="71"/>
      <c r="AD459" s="72" t="str">
        <f t="shared" ca="1" si="36"/>
        <v/>
      </c>
      <c r="AE459" s="72" t="str">
        <f t="shared" ca="1" si="37"/>
        <v/>
      </c>
      <c r="AF459" s="73"/>
      <c r="AG459" s="70"/>
      <c r="AH459" s="70"/>
      <c r="AI459" s="74" t="str">
        <f t="shared" si="38"/>
        <v/>
      </c>
      <c r="AJ459" s="75" t="str">
        <f t="shared" ca="1" si="39"/>
        <v/>
      </c>
      <c r="AK459" s="71"/>
      <c r="AL459" s="70"/>
      <c r="AM459" s="71"/>
      <c r="AN459" s="70"/>
    </row>
    <row r="460" spans="6:40" s="59" customFormat="1" x14ac:dyDescent="0.35">
      <c r="F460" s="65"/>
      <c r="J460" s="67"/>
      <c r="M460" s="68"/>
      <c r="W460" s="20" t="str">
        <f t="shared" si="35"/>
        <v/>
      </c>
      <c r="AA460" s="70"/>
      <c r="AB460" s="71"/>
      <c r="AC460" s="71"/>
      <c r="AD460" s="72" t="str">
        <f t="shared" ca="1" si="36"/>
        <v/>
      </c>
      <c r="AE460" s="72" t="str">
        <f t="shared" ca="1" si="37"/>
        <v/>
      </c>
      <c r="AF460" s="73"/>
      <c r="AG460" s="70"/>
      <c r="AH460" s="70"/>
      <c r="AI460" s="74" t="str">
        <f t="shared" si="38"/>
        <v/>
      </c>
      <c r="AJ460" s="75" t="str">
        <f t="shared" ca="1" si="39"/>
        <v/>
      </c>
      <c r="AK460" s="71"/>
      <c r="AL460" s="70"/>
      <c r="AM460" s="71"/>
      <c r="AN460" s="70"/>
    </row>
    <row r="461" spans="6:40" s="59" customFormat="1" x14ac:dyDescent="0.35">
      <c r="F461" s="65"/>
      <c r="J461" s="67"/>
      <c r="M461" s="68"/>
      <c r="W461" s="20" t="str">
        <f t="shared" si="35"/>
        <v/>
      </c>
      <c r="AA461" s="70"/>
      <c r="AB461" s="71"/>
      <c r="AC461" s="71"/>
      <c r="AD461" s="72" t="str">
        <f t="shared" ca="1" si="36"/>
        <v/>
      </c>
      <c r="AE461" s="72" t="str">
        <f t="shared" ca="1" si="37"/>
        <v/>
      </c>
      <c r="AF461" s="73"/>
      <c r="AG461" s="70"/>
      <c r="AH461" s="70"/>
      <c r="AI461" s="74" t="str">
        <f t="shared" si="38"/>
        <v/>
      </c>
      <c r="AJ461" s="75" t="str">
        <f t="shared" ca="1" si="39"/>
        <v/>
      </c>
      <c r="AK461" s="71"/>
      <c r="AL461" s="70"/>
      <c r="AM461" s="71"/>
      <c r="AN461" s="70"/>
    </row>
    <row r="462" spans="6:40" s="59" customFormat="1" x14ac:dyDescent="0.35">
      <c r="F462" s="65"/>
      <c r="J462" s="67"/>
      <c r="M462" s="68"/>
      <c r="W462" s="20" t="str">
        <f t="shared" si="35"/>
        <v/>
      </c>
      <c r="AA462" s="70"/>
      <c r="AB462" s="71"/>
      <c r="AC462" s="71"/>
      <c r="AD462" s="72" t="str">
        <f t="shared" ca="1" si="36"/>
        <v/>
      </c>
      <c r="AE462" s="72" t="str">
        <f t="shared" ca="1" si="37"/>
        <v/>
      </c>
      <c r="AF462" s="73"/>
      <c r="AG462" s="70"/>
      <c r="AH462" s="70"/>
      <c r="AI462" s="74" t="str">
        <f t="shared" si="38"/>
        <v/>
      </c>
      <c r="AJ462" s="75" t="str">
        <f t="shared" ca="1" si="39"/>
        <v/>
      </c>
      <c r="AK462" s="71"/>
      <c r="AL462" s="70"/>
      <c r="AM462" s="71"/>
      <c r="AN462" s="70"/>
    </row>
    <row r="463" spans="6:40" s="59" customFormat="1" x14ac:dyDescent="0.35">
      <c r="F463" s="65"/>
      <c r="J463" s="67"/>
      <c r="M463" s="68"/>
      <c r="W463" s="20" t="str">
        <f t="shared" si="35"/>
        <v/>
      </c>
      <c r="AA463" s="70"/>
      <c r="AB463" s="71"/>
      <c r="AC463" s="71"/>
      <c r="AD463" s="72" t="str">
        <f t="shared" ca="1" si="36"/>
        <v/>
      </c>
      <c r="AE463" s="72" t="str">
        <f t="shared" ca="1" si="37"/>
        <v/>
      </c>
      <c r="AF463" s="73"/>
      <c r="AG463" s="70"/>
      <c r="AH463" s="70"/>
      <c r="AI463" s="74" t="str">
        <f t="shared" si="38"/>
        <v/>
      </c>
      <c r="AJ463" s="75" t="str">
        <f t="shared" ca="1" si="39"/>
        <v/>
      </c>
      <c r="AK463" s="71"/>
      <c r="AL463" s="70"/>
      <c r="AM463" s="71"/>
      <c r="AN463" s="70"/>
    </row>
    <row r="464" spans="6:40" s="59" customFormat="1" x14ac:dyDescent="0.35">
      <c r="F464" s="65"/>
      <c r="J464" s="67"/>
      <c r="M464" s="68"/>
      <c r="W464" s="20" t="str">
        <f t="shared" si="35"/>
        <v/>
      </c>
      <c r="AA464" s="70"/>
      <c r="AB464" s="71"/>
      <c r="AC464" s="71"/>
      <c r="AD464" s="72" t="str">
        <f t="shared" ca="1" si="36"/>
        <v/>
      </c>
      <c r="AE464" s="72" t="str">
        <f t="shared" ca="1" si="37"/>
        <v/>
      </c>
      <c r="AF464" s="73"/>
      <c r="AG464" s="70"/>
      <c r="AH464" s="70"/>
      <c r="AI464" s="74" t="str">
        <f t="shared" si="38"/>
        <v/>
      </c>
      <c r="AJ464" s="75" t="str">
        <f t="shared" ca="1" si="39"/>
        <v/>
      </c>
      <c r="AK464" s="71"/>
      <c r="AL464" s="70"/>
      <c r="AM464" s="71"/>
      <c r="AN464" s="70"/>
    </row>
    <row r="465" spans="6:40" s="59" customFormat="1" x14ac:dyDescent="0.35">
      <c r="F465" s="65"/>
      <c r="J465" s="67"/>
      <c r="M465" s="68"/>
      <c r="W465" s="20" t="str">
        <f t="shared" si="35"/>
        <v/>
      </c>
      <c r="AA465" s="70"/>
      <c r="AB465" s="71"/>
      <c r="AC465" s="71"/>
      <c r="AD465" s="72" t="str">
        <f t="shared" ca="1" si="36"/>
        <v/>
      </c>
      <c r="AE465" s="72" t="str">
        <f t="shared" ca="1" si="37"/>
        <v/>
      </c>
      <c r="AF465" s="73"/>
      <c r="AG465" s="70"/>
      <c r="AH465" s="70"/>
      <c r="AI465" s="74" t="str">
        <f t="shared" si="38"/>
        <v/>
      </c>
      <c r="AJ465" s="75" t="str">
        <f t="shared" ca="1" si="39"/>
        <v/>
      </c>
      <c r="AK465" s="71"/>
      <c r="AL465" s="70"/>
      <c r="AM465" s="71"/>
      <c r="AN465" s="70"/>
    </row>
    <row r="466" spans="6:40" s="59" customFormat="1" x14ac:dyDescent="0.35">
      <c r="F466" s="65"/>
      <c r="J466" s="67"/>
      <c r="M466" s="68"/>
      <c r="W466" s="20" t="str">
        <f t="shared" si="35"/>
        <v/>
      </c>
      <c r="AA466" s="70"/>
      <c r="AB466" s="71"/>
      <c r="AC466" s="71"/>
      <c r="AD466" s="72" t="str">
        <f t="shared" ca="1" si="36"/>
        <v/>
      </c>
      <c r="AE466" s="72" t="str">
        <f t="shared" ca="1" si="37"/>
        <v/>
      </c>
      <c r="AF466" s="73"/>
      <c r="AG466" s="70"/>
      <c r="AH466" s="70"/>
      <c r="AI466" s="74" t="str">
        <f t="shared" si="38"/>
        <v/>
      </c>
      <c r="AJ466" s="75" t="str">
        <f t="shared" ca="1" si="39"/>
        <v/>
      </c>
      <c r="AK466" s="71"/>
      <c r="AL466" s="70"/>
      <c r="AM466" s="71"/>
      <c r="AN466" s="70"/>
    </row>
    <row r="467" spans="6:40" s="59" customFormat="1" x14ac:dyDescent="0.35">
      <c r="F467" s="65"/>
      <c r="J467" s="67"/>
      <c r="M467" s="68"/>
      <c r="W467" s="20" t="str">
        <f t="shared" si="35"/>
        <v/>
      </c>
      <c r="AA467" s="70"/>
      <c r="AB467" s="71"/>
      <c r="AC467" s="71"/>
      <c r="AD467" s="72" t="str">
        <f t="shared" ca="1" si="36"/>
        <v/>
      </c>
      <c r="AE467" s="72" t="str">
        <f t="shared" ca="1" si="37"/>
        <v/>
      </c>
      <c r="AF467" s="73"/>
      <c r="AG467" s="70"/>
      <c r="AH467" s="70"/>
      <c r="AI467" s="74" t="str">
        <f t="shared" si="38"/>
        <v/>
      </c>
      <c r="AJ467" s="75" t="str">
        <f t="shared" ca="1" si="39"/>
        <v/>
      </c>
      <c r="AK467" s="71"/>
      <c r="AL467" s="70"/>
      <c r="AM467" s="71"/>
      <c r="AN467" s="70"/>
    </row>
    <row r="468" spans="6:40" s="59" customFormat="1" x14ac:dyDescent="0.35">
      <c r="F468" s="65"/>
      <c r="J468" s="67"/>
      <c r="M468" s="68"/>
      <c r="W468" s="20" t="str">
        <f t="shared" si="35"/>
        <v/>
      </c>
      <c r="AA468" s="70"/>
      <c r="AB468" s="71"/>
      <c r="AC468" s="71"/>
      <c r="AD468" s="72" t="str">
        <f t="shared" ca="1" si="36"/>
        <v/>
      </c>
      <c r="AE468" s="72" t="str">
        <f t="shared" ca="1" si="37"/>
        <v/>
      </c>
      <c r="AF468" s="73"/>
      <c r="AG468" s="70"/>
      <c r="AH468" s="70"/>
      <c r="AI468" s="74" t="str">
        <f t="shared" si="38"/>
        <v/>
      </c>
      <c r="AJ468" s="75" t="str">
        <f t="shared" ca="1" si="39"/>
        <v/>
      </c>
      <c r="AK468" s="71"/>
      <c r="AL468" s="70"/>
      <c r="AM468" s="71"/>
      <c r="AN468" s="70"/>
    </row>
    <row r="469" spans="6:40" s="59" customFormat="1" x14ac:dyDescent="0.35">
      <c r="F469" s="65"/>
      <c r="J469" s="67"/>
      <c r="M469" s="68"/>
      <c r="W469" s="20" t="str">
        <f t="shared" si="35"/>
        <v/>
      </c>
      <c r="AA469" s="70"/>
      <c r="AB469" s="71"/>
      <c r="AC469" s="71"/>
      <c r="AD469" s="72" t="str">
        <f t="shared" ca="1" si="36"/>
        <v/>
      </c>
      <c r="AE469" s="72" t="str">
        <f t="shared" ca="1" si="37"/>
        <v/>
      </c>
      <c r="AF469" s="73"/>
      <c r="AG469" s="70"/>
      <c r="AH469" s="70"/>
      <c r="AI469" s="74" t="str">
        <f t="shared" si="38"/>
        <v/>
      </c>
      <c r="AJ469" s="75" t="str">
        <f t="shared" ca="1" si="39"/>
        <v/>
      </c>
      <c r="AK469" s="71"/>
      <c r="AL469" s="70"/>
      <c r="AM469" s="71"/>
      <c r="AN469" s="70"/>
    </row>
    <row r="470" spans="6:40" s="59" customFormat="1" x14ac:dyDescent="0.35">
      <c r="F470" s="65"/>
      <c r="J470" s="67"/>
      <c r="M470" s="68"/>
      <c r="W470" s="20" t="str">
        <f t="shared" si="35"/>
        <v/>
      </c>
      <c r="AA470" s="70"/>
      <c r="AB470" s="71"/>
      <c r="AC470" s="71"/>
      <c r="AD470" s="72" t="str">
        <f t="shared" ca="1" si="36"/>
        <v/>
      </c>
      <c r="AE470" s="72" t="str">
        <f t="shared" ca="1" si="37"/>
        <v/>
      </c>
      <c r="AF470" s="73"/>
      <c r="AG470" s="70"/>
      <c r="AH470" s="70"/>
      <c r="AI470" s="74" t="str">
        <f t="shared" si="38"/>
        <v/>
      </c>
      <c r="AJ470" s="75" t="str">
        <f t="shared" ca="1" si="39"/>
        <v/>
      </c>
      <c r="AK470" s="71"/>
      <c r="AL470" s="70"/>
      <c r="AM470" s="71"/>
      <c r="AN470" s="70"/>
    </row>
    <row r="471" spans="6:40" s="59" customFormat="1" x14ac:dyDescent="0.35">
      <c r="F471" s="65"/>
      <c r="J471" s="67"/>
      <c r="M471" s="68"/>
      <c r="W471" s="20" t="str">
        <f t="shared" si="35"/>
        <v/>
      </c>
      <c r="AA471" s="70"/>
      <c r="AB471" s="71"/>
      <c r="AC471" s="71"/>
      <c r="AD471" s="72" t="str">
        <f t="shared" ca="1" si="36"/>
        <v/>
      </c>
      <c r="AE471" s="72" t="str">
        <f t="shared" ca="1" si="37"/>
        <v/>
      </c>
      <c r="AF471" s="73"/>
      <c r="AG471" s="70"/>
      <c r="AH471" s="70"/>
      <c r="AI471" s="74" t="str">
        <f t="shared" si="38"/>
        <v/>
      </c>
      <c r="AJ471" s="75" t="str">
        <f t="shared" ca="1" si="39"/>
        <v/>
      </c>
      <c r="AK471" s="71"/>
      <c r="AL471" s="70"/>
      <c r="AM471" s="71"/>
      <c r="AN471" s="70"/>
    </row>
    <row r="472" spans="6:40" s="59" customFormat="1" x14ac:dyDescent="0.35">
      <c r="F472" s="65"/>
      <c r="J472" s="67"/>
      <c r="M472" s="68"/>
      <c r="W472" s="20" t="str">
        <f t="shared" si="35"/>
        <v/>
      </c>
      <c r="AA472" s="70"/>
      <c r="AB472" s="71"/>
      <c r="AC472" s="71"/>
      <c r="AD472" s="72" t="str">
        <f t="shared" ca="1" si="36"/>
        <v/>
      </c>
      <c r="AE472" s="72" t="str">
        <f t="shared" ca="1" si="37"/>
        <v/>
      </c>
      <c r="AF472" s="73"/>
      <c r="AG472" s="70"/>
      <c r="AH472" s="70"/>
      <c r="AI472" s="74" t="str">
        <f t="shared" si="38"/>
        <v/>
      </c>
      <c r="AJ472" s="75" t="str">
        <f t="shared" ca="1" si="39"/>
        <v/>
      </c>
      <c r="AK472" s="71"/>
      <c r="AL472" s="70"/>
      <c r="AM472" s="71"/>
      <c r="AN472" s="70"/>
    </row>
    <row r="473" spans="6:40" s="59" customFormat="1" x14ac:dyDescent="0.35">
      <c r="F473" s="65"/>
      <c r="J473" s="67"/>
      <c r="M473" s="68"/>
      <c r="W473" s="20" t="str">
        <f t="shared" si="35"/>
        <v/>
      </c>
      <c r="AA473" s="70"/>
      <c r="AB473" s="71"/>
      <c r="AC473" s="71"/>
      <c r="AD473" s="72" t="str">
        <f t="shared" ca="1" si="36"/>
        <v/>
      </c>
      <c r="AE473" s="72" t="str">
        <f t="shared" ca="1" si="37"/>
        <v/>
      </c>
      <c r="AF473" s="73"/>
      <c r="AG473" s="70"/>
      <c r="AH473" s="70"/>
      <c r="AI473" s="74" t="str">
        <f t="shared" si="38"/>
        <v/>
      </c>
      <c r="AJ473" s="75" t="str">
        <f t="shared" ca="1" si="39"/>
        <v/>
      </c>
      <c r="AK473" s="71"/>
      <c r="AL473" s="70"/>
      <c r="AM473" s="71"/>
      <c r="AN473" s="70"/>
    </row>
    <row r="474" spans="6:40" s="59" customFormat="1" x14ac:dyDescent="0.35">
      <c r="F474" s="65"/>
      <c r="J474" s="67"/>
      <c r="M474" s="68"/>
      <c r="W474" s="20" t="str">
        <f t="shared" si="35"/>
        <v/>
      </c>
      <c r="AA474" s="70"/>
      <c r="AB474" s="71"/>
      <c r="AC474" s="71"/>
      <c r="AD474" s="72" t="str">
        <f t="shared" ca="1" si="36"/>
        <v/>
      </c>
      <c r="AE474" s="72" t="str">
        <f t="shared" ca="1" si="37"/>
        <v/>
      </c>
      <c r="AF474" s="73"/>
      <c r="AG474" s="70"/>
      <c r="AH474" s="70"/>
      <c r="AI474" s="74" t="str">
        <f t="shared" si="38"/>
        <v/>
      </c>
      <c r="AJ474" s="75" t="str">
        <f t="shared" ca="1" si="39"/>
        <v/>
      </c>
      <c r="AK474" s="71"/>
      <c r="AL474" s="70"/>
      <c r="AM474" s="71"/>
      <c r="AN474" s="70"/>
    </row>
    <row r="475" spans="6:40" s="59" customFormat="1" x14ac:dyDescent="0.35">
      <c r="F475" s="65"/>
      <c r="J475" s="67"/>
      <c r="M475" s="68"/>
      <c r="W475" s="20" t="str">
        <f t="shared" si="35"/>
        <v/>
      </c>
      <c r="AA475" s="70"/>
      <c r="AB475" s="71"/>
      <c r="AC475" s="71"/>
      <c r="AD475" s="72" t="str">
        <f t="shared" ca="1" si="36"/>
        <v/>
      </c>
      <c r="AE475" s="72" t="str">
        <f t="shared" ca="1" si="37"/>
        <v/>
      </c>
      <c r="AF475" s="73"/>
      <c r="AG475" s="70"/>
      <c r="AH475" s="70"/>
      <c r="AI475" s="74" t="str">
        <f t="shared" si="38"/>
        <v/>
      </c>
      <c r="AJ475" s="75" t="str">
        <f t="shared" ca="1" si="39"/>
        <v/>
      </c>
      <c r="AK475" s="71"/>
      <c r="AL475" s="70"/>
      <c r="AM475" s="71"/>
      <c r="AN475" s="70"/>
    </row>
    <row r="476" spans="6:40" s="59" customFormat="1" x14ac:dyDescent="0.35">
      <c r="F476" s="65"/>
      <c r="J476" s="67"/>
      <c r="M476" s="68"/>
      <c r="W476" s="20" t="str">
        <f t="shared" si="35"/>
        <v/>
      </c>
      <c r="AA476" s="70"/>
      <c r="AB476" s="71"/>
      <c r="AC476" s="71"/>
      <c r="AD476" s="72" t="str">
        <f t="shared" ca="1" si="36"/>
        <v/>
      </c>
      <c r="AE476" s="72" t="str">
        <f t="shared" ca="1" si="37"/>
        <v/>
      </c>
      <c r="AF476" s="73"/>
      <c r="AG476" s="70"/>
      <c r="AH476" s="70"/>
      <c r="AI476" s="74" t="str">
        <f t="shared" si="38"/>
        <v/>
      </c>
      <c r="AJ476" s="75" t="str">
        <f t="shared" ca="1" si="39"/>
        <v/>
      </c>
      <c r="AK476" s="71"/>
      <c r="AL476" s="70"/>
      <c r="AM476" s="71"/>
      <c r="AN476" s="70"/>
    </row>
    <row r="477" spans="6:40" s="59" customFormat="1" x14ac:dyDescent="0.35">
      <c r="F477" s="65"/>
      <c r="J477" s="67"/>
      <c r="M477" s="68"/>
      <c r="W477" s="20" t="str">
        <f t="shared" si="35"/>
        <v/>
      </c>
      <c r="AA477" s="70"/>
      <c r="AB477" s="71"/>
      <c r="AC477" s="71"/>
      <c r="AD477" s="72" t="str">
        <f t="shared" ca="1" si="36"/>
        <v/>
      </c>
      <c r="AE477" s="72" t="str">
        <f t="shared" ca="1" si="37"/>
        <v/>
      </c>
      <c r="AF477" s="73"/>
      <c r="AG477" s="70"/>
      <c r="AH477" s="70"/>
      <c r="AI477" s="74" t="str">
        <f t="shared" si="38"/>
        <v/>
      </c>
      <c r="AJ477" s="75" t="str">
        <f t="shared" ca="1" si="39"/>
        <v/>
      </c>
      <c r="AK477" s="71"/>
      <c r="AL477" s="70"/>
      <c r="AM477" s="71"/>
      <c r="AN477" s="70"/>
    </row>
    <row r="478" spans="6:40" s="59" customFormat="1" x14ac:dyDescent="0.35">
      <c r="F478" s="65"/>
      <c r="J478" s="67"/>
      <c r="M478" s="68"/>
      <c r="W478" s="20" t="str">
        <f t="shared" si="35"/>
        <v/>
      </c>
      <c r="AA478" s="70"/>
      <c r="AB478" s="71"/>
      <c r="AC478" s="71"/>
      <c r="AD478" s="72" t="str">
        <f t="shared" ca="1" si="36"/>
        <v/>
      </c>
      <c r="AE478" s="72" t="str">
        <f t="shared" ca="1" si="37"/>
        <v/>
      </c>
      <c r="AF478" s="73"/>
      <c r="AG478" s="70"/>
      <c r="AH478" s="70"/>
      <c r="AI478" s="74" t="str">
        <f t="shared" si="38"/>
        <v/>
      </c>
      <c r="AJ478" s="75" t="str">
        <f t="shared" ca="1" si="39"/>
        <v/>
      </c>
      <c r="AK478" s="71"/>
      <c r="AL478" s="70"/>
      <c r="AM478" s="71"/>
      <c r="AN478" s="70"/>
    </row>
    <row r="479" spans="6:40" s="59" customFormat="1" x14ac:dyDescent="0.35">
      <c r="F479" s="65"/>
      <c r="J479" s="67"/>
      <c r="M479" s="68"/>
      <c r="W479" s="20" t="str">
        <f t="shared" si="35"/>
        <v/>
      </c>
      <c r="AA479" s="70"/>
      <c r="AB479" s="71"/>
      <c r="AC479" s="71"/>
      <c r="AD479" s="72" t="str">
        <f t="shared" ca="1" si="36"/>
        <v/>
      </c>
      <c r="AE479" s="72" t="str">
        <f t="shared" ca="1" si="37"/>
        <v/>
      </c>
      <c r="AF479" s="73"/>
      <c r="AG479" s="70"/>
      <c r="AH479" s="70"/>
      <c r="AI479" s="74" t="str">
        <f t="shared" si="38"/>
        <v/>
      </c>
      <c r="AJ479" s="75" t="str">
        <f t="shared" ca="1" si="39"/>
        <v/>
      </c>
      <c r="AK479" s="71"/>
      <c r="AL479" s="70"/>
      <c r="AM479" s="71"/>
      <c r="AN479" s="70"/>
    </row>
    <row r="480" spans="6:40" s="59" customFormat="1" x14ac:dyDescent="0.35">
      <c r="F480" s="65"/>
      <c r="J480" s="67"/>
      <c r="M480" s="68"/>
      <c r="W480" s="20" t="str">
        <f t="shared" si="35"/>
        <v/>
      </c>
      <c r="AA480" s="70"/>
      <c r="AB480" s="71"/>
      <c r="AC480" s="71"/>
      <c r="AD480" s="72" t="str">
        <f t="shared" ca="1" si="36"/>
        <v/>
      </c>
      <c r="AE480" s="72" t="str">
        <f t="shared" ca="1" si="37"/>
        <v/>
      </c>
      <c r="AF480" s="73"/>
      <c r="AG480" s="70"/>
      <c r="AH480" s="70"/>
      <c r="AI480" s="74" t="str">
        <f t="shared" si="38"/>
        <v/>
      </c>
      <c r="AJ480" s="75" t="str">
        <f t="shared" ca="1" si="39"/>
        <v/>
      </c>
      <c r="AK480" s="71"/>
      <c r="AL480" s="70"/>
      <c r="AM480" s="71"/>
      <c r="AN480" s="70"/>
    </row>
    <row r="481" spans="6:40" s="59" customFormat="1" x14ac:dyDescent="0.35">
      <c r="F481" s="65"/>
      <c r="J481" s="67"/>
      <c r="M481" s="68"/>
      <c r="W481" s="20" t="str">
        <f t="shared" si="35"/>
        <v/>
      </c>
      <c r="AA481" s="70"/>
      <c r="AB481" s="71"/>
      <c r="AC481" s="71"/>
      <c r="AD481" s="72" t="str">
        <f t="shared" ca="1" si="36"/>
        <v/>
      </c>
      <c r="AE481" s="72" t="str">
        <f t="shared" ca="1" si="37"/>
        <v/>
      </c>
      <c r="AF481" s="73"/>
      <c r="AG481" s="70"/>
      <c r="AH481" s="70"/>
      <c r="AI481" s="74" t="str">
        <f t="shared" si="38"/>
        <v/>
      </c>
      <c r="AJ481" s="75" t="str">
        <f t="shared" ca="1" si="39"/>
        <v/>
      </c>
      <c r="AK481" s="71"/>
      <c r="AL481" s="70"/>
      <c r="AM481" s="71"/>
      <c r="AN481" s="70"/>
    </row>
    <row r="482" spans="6:40" s="59" customFormat="1" x14ac:dyDescent="0.35">
      <c r="F482" s="65"/>
      <c r="J482" s="67"/>
      <c r="M482" s="68"/>
      <c r="W482" s="20" t="str">
        <f t="shared" si="35"/>
        <v/>
      </c>
      <c r="AA482" s="70"/>
      <c r="AB482" s="71"/>
      <c r="AC482" s="71"/>
      <c r="AD482" s="72" t="str">
        <f t="shared" ca="1" si="36"/>
        <v/>
      </c>
      <c r="AE482" s="72" t="str">
        <f t="shared" ca="1" si="37"/>
        <v/>
      </c>
      <c r="AF482" s="73"/>
      <c r="AG482" s="70"/>
      <c r="AH482" s="70"/>
      <c r="AI482" s="74" t="str">
        <f t="shared" si="38"/>
        <v/>
      </c>
      <c r="AJ482" s="75" t="str">
        <f t="shared" ca="1" si="39"/>
        <v/>
      </c>
      <c r="AK482" s="71"/>
      <c r="AL482" s="70"/>
      <c r="AM482" s="71"/>
      <c r="AN482" s="70"/>
    </row>
    <row r="483" spans="6:40" s="59" customFormat="1" x14ac:dyDescent="0.35">
      <c r="F483" s="65"/>
      <c r="J483" s="67"/>
      <c r="M483" s="68"/>
      <c r="W483" s="20" t="str">
        <f t="shared" si="35"/>
        <v/>
      </c>
      <c r="AA483" s="70"/>
      <c r="AB483" s="71"/>
      <c r="AC483" s="71"/>
      <c r="AD483" s="72" t="str">
        <f t="shared" ca="1" si="36"/>
        <v/>
      </c>
      <c r="AE483" s="72" t="str">
        <f t="shared" ca="1" si="37"/>
        <v/>
      </c>
      <c r="AF483" s="73"/>
      <c r="AG483" s="70"/>
      <c r="AH483" s="70"/>
      <c r="AI483" s="74" t="str">
        <f t="shared" si="38"/>
        <v/>
      </c>
      <c r="AJ483" s="75" t="str">
        <f t="shared" ca="1" si="39"/>
        <v/>
      </c>
      <c r="AK483" s="71"/>
      <c r="AL483" s="70"/>
      <c r="AM483" s="71"/>
      <c r="AN483" s="70"/>
    </row>
    <row r="484" spans="6:40" s="59" customFormat="1" x14ac:dyDescent="0.35">
      <c r="F484" s="65"/>
      <c r="J484" s="67"/>
      <c r="M484" s="68"/>
      <c r="W484" s="20" t="str">
        <f t="shared" si="35"/>
        <v/>
      </c>
      <c r="AA484" s="70"/>
      <c r="AB484" s="71"/>
      <c r="AC484" s="71"/>
      <c r="AD484" s="72" t="str">
        <f t="shared" ca="1" si="36"/>
        <v/>
      </c>
      <c r="AE484" s="72" t="str">
        <f t="shared" ca="1" si="37"/>
        <v/>
      </c>
      <c r="AF484" s="73"/>
      <c r="AG484" s="70"/>
      <c r="AH484" s="70"/>
      <c r="AI484" s="74" t="str">
        <f t="shared" si="38"/>
        <v/>
      </c>
      <c r="AJ484" s="75" t="str">
        <f t="shared" ca="1" si="39"/>
        <v/>
      </c>
      <c r="AK484" s="71"/>
      <c r="AL484" s="70"/>
      <c r="AM484" s="71"/>
      <c r="AN484" s="70"/>
    </row>
    <row r="485" spans="6:40" s="59" customFormat="1" x14ac:dyDescent="0.35">
      <c r="F485" s="65"/>
      <c r="J485" s="67"/>
      <c r="M485" s="68"/>
      <c r="W485" s="20" t="str">
        <f t="shared" si="35"/>
        <v/>
      </c>
      <c r="AA485" s="70"/>
      <c r="AB485" s="71"/>
      <c r="AC485" s="71"/>
      <c r="AD485" s="72" t="str">
        <f t="shared" ca="1" si="36"/>
        <v/>
      </c>
      <c r="AE485" s="72" t="str">
        <f t="shared" ca="1" si="37"/>
        <v/>
      </c>
      <c r="AF485" s="73"/>
      <c r="AG485" s="70"/>
      <c r="AH485" s="70"/>
      <c r="AI485" s="74" t="str">
        <f t="shared" si="38"/>
        <v/>
      </c>
      <c r="AJ485" s="75" t="str">
        <f t="shared" ca="1" si="39"/>
        <v/>
      </c>
      <c r="AK485" s="71"/>
      <c r="AL485" s="70"/>
      <c r="AM485" s="71"/>
      <c r="AN485" s="70"/>
    </row>
    <row r="486" spans="6:40" s="59" customFormat="1" x14ac:dyDescent="0.35">
      <c r="F486" s="65"/>
      <c r="J486" s="67"/>
      <c r="M486" s="68"/>
      <c r="W486" s="20" t="str">
        <f t="shared" si="35"/>
        <v/>
      </c>
      <c r="AA486" s="70"/>
      <c r="AB486" s="71"/>
      <c r="AC486" s="71"/>
      <c r="AD486" s="72" t="str">
        <f t="shared" ca="1" si="36"/>
        <v/>
      </c>
      <c r="AE486" s="72" t="str">
        <f t="shared" ca="1" si="37"/>
        <v/>
      </c>
      <c r="AF486" s="73"/>
      <c r="AG486" s="70"/>
      <c r="AH486" s="70"/>
      <c r="AI486" s="74" t="str">
        <f t="shared" si="38"/>
        <v/>
      </c>
      <c r="AJ486" s="75" t="str">
        <f t="shared" ca="1" si="39"/>
        <v/>
      </c>
      <c r="AK486" s="71"/>
      <c r="AL486" s="70"/>
      <c r="AM486" s="71"/>
      <c r="AN486" s="70"/>
    </row>
    <row r="487" spans="6:40" s="59" customFormat="1" x14ac:dyDescent="0.35">
      <c r="F487" s="65"/>
      <c r="J487" s="67"/>
      <c r="M487" s="68"/>
      <c r="W487" s="20" t="str">
        <f t="shared" si="35"/>
        <v/>
      </c>
      <c r="AA487" s="70"/>
      <c r="AB487" s="71"/>
      <c r="AC487" s="71"/>
      <c r="AD487" s="72" t="str">
        <f t="shared" ca="1" si="36"/>
        <v/>
      </c>
      <c r="AE487" s="72" t="str">
        <f t="shared" ca="1" si="37"/>
        <v/>
      </c>
      <c r="AF487" s="73"/>
      <c r="AG487" s="70"/>
      <c r="AH487" s="70"/>
      <c r="AI487" s="74" t="str">
        <f t="shared" si="38"/>
        <v/>
      </c>
      <c r="AJ487" s="75" t="str">
        <f t="shared" ca="1" si="39"/>
        <v/>
      </c>
      <c r="AK487" s="71"/>
      <c r="AL487" s="70"/>
      <c r="AM487" s="71"/>
      <c r="AN487" s="70"/>
    </row>
    <row r="488" spans="6:40" s="59" customFormat="1" x14ac:dyDescent="0.35">
      <c r="F488" s="65"/>
      <c r="J488" s="67"/>
      <c r="M488" s="68"/>
      <c r="W488" s="20" t="str">
        <f t="shared" si="35"/>
        <v/>
      </c>
      <c r="AA488" s="70"/>
      <c r="AB488" s="71"/>
      <c r="AC488" s="71"/>
      <c r="AD488" s="72" t="str">
        <f t="shared" ca="1" si="36"/>
        <v/>
      </c>
      <c r="AE488" s="72" t="str">
        <f t="shared" ca="1" si="37"/>
        <v/>
      </c>
      <c r="AF488" s="73"/>
      <c r="AG488" s="70"/>
      <c r="AH488" s="70"/>
      <c r="AI488" s="74" t="str">
        <f t="shared" si="38"/>
        <v/>
      </c>
      <c r="AJ488" s="75" t="str">
        <f t="shared" ca="1" si="39"/>
        <v/>
      </c>
      <c r="AK488" s="71"/>
      <c r="AL488" s="70"/>
      <c r="AM488" s="71"/>
      <c r="AN488" s="70"/>
    </row>
    <row r="489" spans="6:40" s="59" customFormat="1" x14ac:dyDescent="0.35">
      <c r="F489" s="65"/>
      <c r="J489" s="67"/>
      <c r="M489" s="68"/>
      <c r="W489" s="20" t="str">
        <f t="shared" si="35"/>
        <v/>
      </c>
      <c r="AA489" s="70"/>
      <c r="AB489" s="71"/>
      <c r="AC489" s="71"/>
      <c r="AD489" s="72" t="str">
        <f t="shared" ca="1" si="36"/>
        <v/>
      </c>
      <c r="AE489" s="72" t="str">
        <f t="shared" ca="1" si="37"/>
        <v/>
      </c>
      <c r="AF489" s="73"/>
      <c r="AG489" s="70"/>
      <c r="AH489" s="70"/>
      <c r="AI489" s="74" t="str">
        <f t="shared" si="38"/>
        <v/>
      </c>
      <c r="AJ489" s="75" t="str">
        <f t="shared" ca="1" si="39"/>
        <v/>
      </c>
      <c r="AK489" s="71"/>
      <c r="AL489" s="70"/>
      <c r="AM489" s="71"/>
      <c r="AN489" s="70"/>
    </row>
    <row r="490" spans="6:40" s="59" customFormat="1" x14ac:dyDescent="0.35">
      <c r="F490" s="65"/>
      <c r="J490" s="67"/>
      <c r="M490" s="68"/>
      <c r="W490" s="20" t="str">
        <f t="shared" si="35"/>
        <v/>
      </c>
      <c r="AA490" s="70"/>
      <c r="AB490" s="71"/>
      <c r="AC490" s="71"/>
      <c r="AD490" s="72" t="str">
        <f t="shared" ca="1" si="36"/>
        <v/>
      </c>
      <c r="AE490" s="72" t="str">
        <f t="shared" ca="1" si="37"/>
        <v/>
      </c>
      <c r="AF490" s="73"/>
      <c r="AG490" s="70"/>
      <c r="AH490" s="70"/>
      <c r="AI490" s="74" t="str">
        <f t="shared" si="38"/>
        <v/>
      </c>
      <c r="AJ490" s="75" t="str">
        <f t="shared" ca="1" si="39"/>
        <v/>
      </c>
      <c r="AK490" s="71"/>
      <c r="AL490" s="70"/>
      <c r="AM490" s="71"/>
      <c r="AN490" s="70"/>
    </row>
    <row r="491" spans="6:40" s="59" customFormat="1" x14ac:dyDescent="0.35">
      <c r="F491" s="65"/>
      <c r="J491" s="67"/>
      <c r="M491" s="68"/>
      <c r="W491" s="20" t="str">
        <f t="shared" si="35"/>
        <v/>
      </c>
      <c r="AA491" s="70"/>
      <c r="AB491" s="71"/>
      <c r="AC491" s="71"/>
      <c r="AD491" s="72" t="str">
        <f t="shared" ca="1" si="36"/>
        <v/>
      </c>
      <c r="AE491" s="72" t="str">
        <f t="shared" ca="1" si="37"/>
        <v/>
      </c>
      <c r="AF491" s="73"/>
      <c r="AG491" s="70"/>
      <c r="AH491" s="70"/>
      <c r="AI491" s="74" t="str">
        <f t="shared" si="38"/>
        <v/>
      </c>
      <c r="AJ491" s="75" t="str">
        <f t="shared" ca="1" si="39"/>
        <v/>
      </c>
      <c r="AK491" s="71"/>
      <c r="AL491" s="70"/>
      <c r="AM491" s="71"/>
      <c r="AN491" s="70"/>
    </row>
    <row r="492" spans="6:40" s="59" customFormat="1" x14ac:dyDescent="0.35">
      <c r="F492" s="65"/>
      <c r="J492" s="67"/>
      <c r="M492" s="68"/>
      <c r="W492" s="20" t="str">
        <f t="shared" si="35"/>
        <v/>
      </c>
      <c r="AA492" s="70"/>
      <c r="AB492" s="71"/>
      <c r="AC492" s="71"/>
      <c r="AD492" s="72" t="str">
        <f t="shared" ca="1" si="36"/>
        <v/>
      </c>
      <c r="AE492" s="72" t="str">
        <f t="shared" ca="1" si="37"/>
        <v/>
      </c>
      <c r="AF492" s="73"/>
      <c r="AG492" s="70"/>
      <c r="AH492" s="70"/>
      <c r="AI492" s="74" t="str">
        <f t="shared" si="38"/>
        <v/>
      </c>
      <c r="AJ492" s="75" t="str">
        <f t="shared" ca="1" si="39"/>
        <v/>
      </c>
      <c r="AK492" s="71"/>
      <c r="AL492" s="70"/>
      <c r="AM492" s="71"/>
      <c r="AN492" s="70"/>
    </row>
    <row r="493" spans="6:40" s="59" customFormat="1" x14ac:dyDescent="0.35">
      <c r="F493" s="65"/>
      <c r="J493" s="67"/>
      <c r="M493" s="68"/>
      <c r="W493" s="20" t="str">
        <f t="shared" si="35"/>
        <v/>
      </c>
      <c r="AA493" s="70"/>
      <c r="AB493" s="71"/>
      <c r="AC493" s="71"/>
      <c r="AD493" s="72" t="str">
        <f t="shared" ca="1" si="36"/>
        <v/>
      </c>
      <c r="AE493" s="72" t="str">
        <f t="shared" ca="1" si="37"/>
        <v/>
      </c>
      <c r="AF493" s="73"/>
      <c r="AG493" s="70"/>
      <c r="AH493" s="70"/>
      <c r="AI493" s="74" t="str">
        <f t="shared" si="38"/>
        <v/>
      </c>
      <c r="AJ493" s="75" t="str">
        <f t="shared" ca="1" si="39"/>
        <v/>
      </c>
      <c r="AK493" s="71"/>
      <c r="AL493" s="70"/>
      <c r="AM493" s="71"/>
      <c r="AN493" s="70"/>
    </row>
    <row r="494" spans="6:40" s="59" customFormat="1" x14ac:dyDescent="0.35">
      <c r="F494" s="65"/>
      <c r="J494" s="67"/>
      <c r="M494" s="68"/>
      <c r="W494" s="20" t="str">
        <f t="shared" si="35"/>
        <v/>
      </c>
      <c r="AA494" s="70"/>
      <c r="AB494" s="71"/>
      <c r="AC494" s="71"/>
      <c r="AD494" s="72" t="str">
        <f t="shared" ca="1" si="36"/>
        <v/>
      </c>
      <c r="AE494" s="72" t="str">
        <f t="shared" ca="1" si="37"/>
        <v/>
      </c>
      <c r="AF494" s="73"/>
      <c r="AG494" s="70"/>
      <c r="AH494" s="70"/>
      <c r="AI494" s="74" t="str">
        <f t="shared" si="38"/>
        <v/>
      </c>
      <c r="AJ494" s="75" t="str">
        <f t="shared" ca="1" si="39"/>
        <v/>
      </c>
      <c r="AK494" s="71"/>
      <c r="AL494" s="70"/>
      <c r="AM494" s="71"/>
      <c r="AN494" s="70"/>
    </row>
    <row r="495" spans="6:40" s="59" customFormat="1" x14ac:dyDescent="0.35">
      <c r="F495" s="65"/>
      <c r="J495" s="67"/>
      <c r="M495" s="68"/>
      <c r="W495" s="20" t="str">
        <f t="shared" si="35"/>
        <v/>
      </c>
      <c r="AA495" s="70"/>
      <c r="AB495" s="71"/>
      <c r="AC495" s="71"/>
      <c r="AD495" s="72" t="str">
        <f t="shared" ca="1" si="36"/>
        <v/>
      </c>
      <c r="AE495" s="72" t="str">
        <f t="shared" ca="1" si="37"/>
        <v/>
      </c>
      <c r="AF495" s="73"/>
      <c r="AG495" s="70"/>
      <c r="AH495" s="70"/>
      <c r="AI495" s="74" t="str">
        <f t="shared" si="38"/>
        <v/>
      </c>
      <c r="AJ495" s="75" t="str">
        <f t="shared" ca="1" si="39"/>
        <v/>
      </c>
      <c r="AK495" s="71"/>
      <c r="AL495" s="70"/>
      <c r="AM495" s="71"/>
      <c r="AN495" s="70"/>
    </row>
    <row r="496" spans="6:40" s="59" customFormat="1" x14ac:dyDescent="0.35">
      <c r="F496" s="65"/>
      <c r="J496" s="67"/>
      <c r="M496" s="68"/>
      <c r="W496" s="20" t="str">
        <f t="shared" si="35"/>
        <v/>
      </c>
      <c r="AA496" s="70"/>
      <c r="AB496" s="71"/>
      <c r="AC496" s="71"/>
      <c r="AD496" s="72" t="str">
        <f t="shared" ca="1" si="36"/>
        <v/>
      </c>
      <c r="AE496" s="72" t="str">
        <f t="shared" ca="1" si="37"/>
        <v/>
      </c>
      <c r="AF496" s="73"/>
      <c r="AG496" s="70"/>
      <c r="AH496" s="70"/>
      <c r="AI496" s="74" t="str">
        <f t="shared" si="38"/>
        <v/>
      </c>
      <c r="AJ496" s="75" t="str">
        <f t="shared" ca="1" si="39"/>
        <v/>
      </c>
      <c r="AK496" s="71"/>
      <c r="AL496" s="70"/>
      <c r="AM496" s="71"/>
      <c r="AN496" s="70"/>
    </row>
    <row r="497" spans="6:40" s="59" customFormat="1" x14ac:dyDescent="0.35">
      <c r="F497" s="65"/>
      <c r="J497" s="67"/>
      <c r="M497" s="68"/>
      <c r="W497" s="20" t="str">
        <f t="shared" si="35"/>
        <v/>
      </c>
      <c r="AA497" s="70"/>
      <c r="AB497" s="71"/>
      <c r="AC497" s="71"/>
      <c r="AD497" s="72" t="str">
        <f t="shared" ca="1" si="36"/>
        <v/>
      </c>
      <c r="AE497" s="72" t="str">
        <f t="shared" ca="1" si="37"/>
        <v/>
      </c>
      <c r="AF497" s="73"/>
      <c r="AG497" s="70"/>
      <c r="AH497" s="70"/>
      <c r="AI497" s="74" t="str">
        <f t="shared" si="38"/>
        <v/>
      </c>
      <c r="AJ497" s="75" t="str">
        <f t="shared" ca="1" si="39"/>
        <v/>
      </c>
      <c r="AK497" s="71"/>
      <c r="AL497" s="70"/>
      <c r="AM497" s="71"/>
      <c r="AN497" s="70"/>
    </row>
    <row r="498" spans="6:40" s="59" customFormat="1" x14ac:dyDescent="0.35">
      <c r="F498" s="65"/>
      <c r="J498" s="67"/>
      <c r="M498" s="68"/>
      <c r="W498" s="20" t="str">
        <f t="shared" si="35"/>
        <v/>
      </c>
      <c r="AA498" s="70"/>
      <c r="AB498" s="71"/>
      <c r="AC498" s="71"/>
      <c r="AD498" s="72" t="str">
        <f t="shared" ca="1" si="36"/>
        <v/>
      </c>
      <c r="AE498" s="72" t="str">
        <f t="shared" ca="1" si="37"/>
        <v/>
      </c>
      <c r="AF498" s="73"/>
      <c r="AG498" s="70"/>
      <c r="AH498" s="70"/>
      <c r="AI498" s="74" t="str">
        <f t="shared" si="38"/>
        <v/>
      </c>
      <c r="AJ498" s="75" t="str">
        <f t="shared" ca="1" si="39"/>
        <v/>
      </c>
      <c r="AK498" s="71"/>
      <c r="AL498" s="70"/>
      <c r="AM498" s="71"/>
      <c r="AN498" s="70"/>
    </row>
    <row r="499" spans="6:40" s="59" customFormat="1" x14ac:dyDescent="0.35">
      <c r="F499" s="65"/>
      <c r="J499" s="67"/>
      <c r="M499" s="68"/>
      <c r="W499" s="20" t="str">
        <f t="shared" si="35"/>
        <v/>
      </c>
      <c r="AA499" s="70"/>
      <c r="AB499" s="71"/>
      <c r="AC499" s="71"/>
      <c r="AD499" s="72" t="str">
        <f t="shared" ca="1" si="36"/>
        <v/>
      </c>
      <c r="AE499" s="72" t="str">
        <f t="shared" ca="1" si="37"/>
        <v/>
      </c>
      <c r="AF499" s="73"/>
      <c r="AG499" s="70"/>
      <c r="AH499" s="70"/>
      <c r="AI499" s="74" t="str">
        <f t="shared" si="38"/>
        <v/>
      </c>
      <c r="AJ499" s="75" t="str">
        <f t="shared" ca="1" si="39"/>
        <v/>
      </c>
      <c r="AK499" s="71"/>
      <c r="AL499" s="70"/>
      <c r="AM499" s="71"/>
      <c r="AN499" s="70"/>
    </row>
    <row r="500" spans="6:40" s="59" customFormat="1" x14ac:dyDescent="0.35">
      <c r="F500" s="65"/>
      <c r="J500" s="67"/>
      <c r="M500" s="68"/>
      <c r="W500" s="20" t="str">
        <f t="shared" si="35"/>
        <v/>
      </c>
      <c r="AA500" s="70"/>
      <c r="AB500" s="71"/>
      <c r="AC500" s="71"/>
      <c r="AD500" s="72" t="str">
        <f t="shared" ca="1" si="36"/>
        <v/>
      </c>
      <c r="AE500" s="72" t="str">
        <f t="shared" ca="1" si="37"/>
        <v/>
      </c>
      <c r="AF500" s="73"/>
      <c r="AG500" s="70"/>
      <c r="AH500" s="70"/>
      <c r="AI500" s="74" t="str">
        <f t="shared" si="38"/>
        <v/>
      </c>
      <c r="AJ500" s="75" t="str">
        <f t="shared" ca="1" si="39"/>
        <v/>
      </c>
      <c r="AK500" s="71"/>
      <c r="AL500" s="70"/>
      <c r="AM500" s="71"/>
      <c r="AN500" s="70"/>
    </row>
    <row r="501" spans="6:40" x14ac:dyDescent="0.35">
      <c r="S501" s="59"/>
      <c r="T501" s="59"/>
      <c r="W501" s="20" t="str">
        <f t="shared" si="35"/>
        <v/>
      </c>
    </row>
  </sheetData>
  <sheetProtection algorithmName="SHA-512" hashValue="E0u/YXAb0QnUFZ/GdGmGF+GjgIJfiKV5Lnogq5QyQ+E/5FWnKf1yCgDZ72Uyo9DrIHfNZoVsGf93H5FHP7mocw==" saltValue="VZhkheLSOBAitPa7oBZS/yWnRqmZePvX" spinCount="125000" sheet="1" objects="1" scenarios="1"/>
  <autoFilter ref="A5:BG5" xr:uid="{79EBA0CF-B321-4C00-9EE6-7715EAE79B0C}"/>
  <mergeCells count="6">
    <mergeCell ref="AA4:AM4"/>
    <mergeCell ref="I1:Z1"/>
    <mergeCell ref="C2:F3"/>
    <mergeCell ref="G2:Z2"/>
    <mergeCell ref="G3:J3"/>
    <mergeCell ref="L3:Z3"/>
  </mergeCells>
  <conditionalFormatting sqref="AE6:AE500">
    <cfRule type="expression" priority="5">
      <formula>"if($Y$6&gt;2&amp;$AC$6&gt;5)"</formula>
    </cfRule>
  </conditionalFormatting>
  <conditionalFormatting sqref="B6:E6 B7:B59 D7:D59">
    <cfRule type="expression" dxfId="7" priority="4">
      <formula>"'=$O$6=""Critical"",$Y$6&gt;2,$AC$6&gt;5"</formula>
    </cfRule>
  </conditionalFormatting>
  <conditionalFormatting sqref="B60:B500">
    <cfRule type="expression" dxfId="6" priority="3">
      <formula>"'=$O$6=""Critical"",$Y$6&gt;2,$AC$6&gt;5"</formula>
    </cfRule>
  </conditionalFormatting>
  <conditionalFormatting sqref="D60:D500">
    <cfRule type="expression" dxfId="5" priority="2">
      <formula>"'=$O$6=""Critical"",$Y$6&gt;2,$AC$6&gt;5"</formula>
    </cfRule>
  </conditionalFormatting>
  <conditionalFormatting sqref="AI6:AI500">
    <cfRule type="expression" dxfId="4" priority="1">
      <formula>$AI6="Enter the date"</formula>
    </cfRule>
  </conditionalFormatting>
  <dataValidations disablePrompts="1" count="8">
    <dataValidation type="list" allowBlank="1" showInputMessage="1" showErrorMessage="1" sqref="Y6:Y500" xr:uid="{026864E6-B829-4FFC-892D-FD767D4E660C}">
      <formula1>$AY$6:$AY$13</formula1>
    </dataValidation>
    <dataValidation type="list" allowBlank="1" showInputMessage="1" showErrorMessage="1" sqref="X6:X500" xr:uid="{4B5AD9B9-0792-4E5F-A01E-5B7B09617944}">
      <formula1>$AW$6:$AW$8</formula1>
    </dataValidation>
    <dataValidation type="list" allowBlank="1" showInputMessage="1" showErrorMessage="1" sqref="V6:V500" xr:uid="{1507E1C4-11B0-4CC7-A21A-3E0DE31AFB87}">
      <formula1>$AU$6:$AU$13</formula1>
    </dataValidation>
    <dataValidation type="list" allowBlank="1" showInputMessage="1" showErrorMessage="1" sqref="F6:F500" xr:uid="{91122A4E-38AB-45BC-ADF9-2327E016549E}">
      <formula1>$AQ$6:$AQ$7</formula1>
    </dataValidation>
    <dataValidation type="list" allowBlank="1" showInputMessage="1" showErrorMessage="1" sqref="J6:J500" xr:uid="{0727165F-210E-4D38-BA60-B016F9412C81}">
      <formula1>$AT$6:$AT$7</formula1>
    </dataValidation>
    <dataValidation type="list" allowBlank="1" showInputMessage="1" showErrorMessage="1" sqref="U6:U500" xr:uid="{D27F9903-D623-4F3F-997B-B19B5E0798D6}">
      <formula1>$AR$6:$AR$7</formula1>
    </dataValidation>
    <dataValidation type="list" allowBlank="1" showInputMessage="1" showErrorMessage="1" sqref="S6:S501" xr:uid="{84E6454C-F13A-438D-A845-7D91617D8B98}">
      <formula1>"Critical, Non-Critical, Cancelled"</formula1>
    </dataValidation>
    <dataValidation type="list" allowBlank="1" showInputMessage="1" showErrorMessage="1" sqref="T6:T501" xr:uid="{457F6F01-E65B-4F0B-8C73-C714DEF47D02}">
      <formula1>"Exclusion Criteria, Does Modification Criteria, Discontinuation Criteria, Potential Hy's Law Criteria, Study Specific Critical Parameter, Cancelled"</formula1>
    </dataValidation>
  </dataValidations>
  <pageMargins left="0.7" right="0.7" top="1.25" bottom="1.7291666670000001" header="0.3" footer="0.55000000000000004"/>
  <pageSetup paperSize="9" orientation="portrait" r:id="rId1"/>
  <headerFooter>
    <oddHeader xml:space="preserve">&amp;L&amp;G
Central Lab&amp;RPage &amp;P of &amp;N
</oddHeader>
    <oddFooter xml:space="preserve">&amp;L&amp;8
Template No.: CS_TP_MS004 Revision 8
Effective Date: 15Oct2022
&amp;C&amp;8&amp;G&amp;R&amp;9Reference: CS_WI_MS001,     
CS_WI_MS003
</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1E3F3-96F2-40A3-8E52-E8BF3DB4D064}">
  <sheetPr codeName="Sheet4"/>
  <dimension ref="A2:Q64"/>
  <sheetViews>
    <sheetView view="pageLayout" zoomScale="48" zoomScaleNormal="100" zoomScalePageLayoutView="48" workbookViewId="0">
      <selection activeCell="D5" sqref="D5"/>
    </sheetView>
  </sheetViews>
  <sheetFormatPr defaultRowHeight="14.5" x14ac:dyDescent="0.35"/>
  <cols>
    <col min="1" max="1" width="10.7265625" style="46" bestFit="1" customWidth="1"/>
    <col min="2" max="2" width="13.7265625" style="46" bestFit="1" customWidth="1"/>
    <col min="3" max="3" width="12.26953125" customWidth="1"/>
    <col min="5" max="5" width="13.54296875" customWidth="1"/>
    <col min="6" max="6" width="16" customWidth="1"/>
    <col min="7" max="7" width="19" customWidth="1"/>
    <col min="8" max="8" width="15.1796875" customWidth="1"/>
    <col min="9" max="9" width="12.7265625" customWidth="1"/>
    <col min="10" max="10" width="13.54296875" customWidth="1"/>
    <col min="11" max="11" width="19.1796875" customWidth="1"/>
    <col min="12" max="12" width="16.453125" customWidth="1"/>
    <col min="13" max="13" width="13.1796875" customWidth="1"/>
    <col min="14" max="14" width="13.81640625" customWidth="1"/>
    <col min="15" max="15" width="15.26953125" customWidth="1"/>
    <col min="16" max="16" width="15.1796875" customWidth="1"/>
    <col min="17" max="17" width="11.81640625" customWidth="1"/>
  </cols>
  <sheetData>
    <row r="2" spans="1:17" ht="15.5" x14ac:dyDescent="0.35">
      <c r="A2" s="44"/>
      <c r="B2" s="44"/>
    </row>
    <row r="3" spans="1:17" ht="56" x14ac:dyDescent="0.35">
      <c r="A3" s="91" t="s">
        <v>3</v>
      </c>
      <c r="B3" s="91" t="s">
        <v>216</v>
      </c>
      <c r="C3" s="91" t="s">
        <v>217</v>
      </c>
      <c r="D3" s="92" t="s">
        <v>218</v>
      </c>
      <c r="E3" s="91" t="s">
        <v>219</v>
      </c>
      <c r="F3" s="92" t="s">
        <v>220</v>
      </c>
      <c r="G3" s="91" t="s">
        <v>221</v>
      </c>
      <c r="H3" s="92" t="s">
        <v>222</v>
      </c>
      <c r="I3" s="92" t="s">
        <v>223</v>
      </c>
      <c r="J3" s="91" t="s">
        <v>224</v>
      </c>
      <c r="K3" s="92" t="s">
        <v>225</v>
      </c>
      <c r="L3" s="92" t="s">
        <v>226</v>
      </c>
      <c r="M3" s="92" t="s">
        <v>227</v>
      </c>
      <c r="N3" s="91" t="s">
        <v>228</v>
      </c>
      <c r="O3" s="92" t="s">
        <v>229</v>
      </c>
      <c r="P3" s="91" t="s">
        <v>230</v>
      </c>
      <c r="Q3" s="92" t="s">
        <v>231</v>
      </c>
    </row>
    <row r="4" spans="1:17" x14ac:dyDescent="0.35">
      <c r="A4" s="47"/>
      <c r="B4" s="47"/>
      <c r="C4" s="47"/>
      <c r="D4" s="47"/>
      <c r="E4" s="48"/>
      <c r="F4" s="48"/>
      <c r="G4" s="48"/>
      <c r="H4" s="49"/>
      <c r="I4" s="49"/>
      <c r="J4" s="49"/>
      <c r="K4" s="50"/>
      <c r="L4" s="49"/>
      <c r="M4" s="49"/>
      <c r="N4" s="49"/>
      <c r="O4" s="50"/>
      <c r="P4" s="51"/>
      <c r="Q4" s="48"/>
    </row>
    <row r="5" spans="1:17" x14ac:dyDescent="0.35">
      <c r="A5" s="47"/>
      <c r="B5" s="47"/>
      <c r="C5" s="47"/>
      <c r="D5" s="47"/>
      <c r="E5" s="48"/>
      <c r="F5" s="48"/>
      <c r="G5" s="48"/>
      <c r="H5" s="49"/>
      <c r="I5" s="49"/>
      <c r="J5" s="49"/>
      <c r="K5" s="50"/>
      <c r="L5" s="49"/>
      <c r="M5" s="49"/>
      <c r="N5" s="49"/>
      <c r="O5" s="50"/>
      <c r="P5" s="52"/>
      <c r="Q5" s="48"/>
    </row>
    <row r="6" spans="1:17" x14ac:dyDescent="0.35">
      <c r="A6" s="47"/>
      <c r="B6" s="47"/>
      <c r="C6" s="47"/>
      <c r="D6" s="47"/>
      <c r="E6" s="48"/>
      <c r="F6" s="48"/>
      <c r="G6" s="48"/>
      <c r="H6" s="49"/>
      <c r="I6" s="49"/>
      <c r="J6" s="49"/>
      <c r="K6" s="50"/>
      <c r="L6" s="49"/>
      <c r="M6" s="49"/>
      <c r="N6" s="49"/>
      <c r="O6" s="50"/>
      <c r="P6" s="52"/>
      <c r="Q6" s="48"/>
    </row>
    <row r="7" spans="1:17" x14ac:dyDescent="0.35">
      <c r="A7" s="47"/>
      <c r="B7" s="47"/>
      <c r="C7" s="49"/>
      <c r="D7" s="47"/>
      <c r="E7" s="53"/>
      <c r="F7" s="53"/>
      <c r="G7" s="53"/>
      <c r="H7" s="49"/>
      <c r="I7" s="49"/>
      <c r="J7" s="49"/>
      <c r="K7" s="50"/>
      <c r="L7" s="49"/>
      <c r="M7" s="49"/>
      <c r="N7" s="49"/>
      <c r="O7" s="50"/>
      <c r="P7" s="52"/>
      <c r="Q7" s="49"/>
    </row>
    <row r="8" spans="1:17" x14ac:dyDescent="0.35">
      <c r="A8" s="47"/>
      <c r="B8" s="47"/>
      <c r="C8" s="49"/>
      <c r="D8" s="49"/>
      <c r="E8" s="49"/>
      <c r="F8" s="49"/>
      <c r="G8" s="49"/>
      <c r="H8" s="49"/>
      <c r="I8" s="49"/>
      <c r="J8" s="49"/>
      <c r="K8" s="50"/>
      <c r="L8" s="49"/>
      <c r="M8" s="49"/>
      <c r="N8" s="49"/>
      <c r="O8" s="50"/>
      <c r="P8" s="52"/>
      <c r="Q8" s="49"/>
    </row>
    <row r="9" spans="1:17" x14ac:dyDescent="0.35">
      <c r="A9" s="47"/>
      <c r="B9" s="49"/>
      <c r="C9" s="49"/>
      <c r="D9" s="49"/>
      <c r="E9" s="49"/>
      <c r="F9" s="49"/>
      <c r="G9" s="49"/>
      <c r="H9" s="49"/>
      <c r="I9" s="49"/>
      <c r="J9" s="49"/>
      <c r="K9" s="50"/>
      <c r="L9" s="49"/>
      <c r="M9" s="49"/>
      <c r="N9" s="49"/>
      <c r="O9" s="50"/>
      <c r="P9" s="52"/>
      <c r="Q9" s="49"/>
    </row>
    <row r="10" spans="1:17" x14ac:dyDescent="0.35">
      <c r="A10" s="47"/>
      <c r="B10" s="49"/>
      <c r="C10" s="49"/>
      <c r="D10" s="49"/>
      <c r="E10" s="49"/>
      <c r="F10" s="49"/>
      <c r="G10" s="49"/>
      <c r="H10" s="49"/>
      <c r="I10" s="49"/>
      <c r="J10" s="49"/>
      <c r="K10" s="50"/>
      <c r="L10" s="49"/>
      <c r="M10" s="49"/>
      <c r="N10" s="49"/>
      <c r="O10" s="50"/>
      <c r="P10" s="52"/>
      <c r="Q10" s="49"/>
    </row>
    <row r="11" spans="1:17" x14ac:dyDescent="0.35">
      <c r="A11" s="47"/>
      <c r="B11" s="49"/>
      <c r="C11" s="49"/>
      <c r="D11" s="49"/>
      <c r="E11" s="49"/>
      <c r="F11" s="49"/>
      <c r="G11" s="49"/>
      <c r="H11" s="49"/>
      <c r="I11" s="49"/>
      <c r="J11" s="49"/>
      <c r="K11" s="50"/>
      <c r="L11" s="49"/>
      <c r="M11" s="49"/>
      <c r="N11" s="49"/>
      <c r="O11" s="50"/>
      <c r="P11" s="52"/>
      <c r="Q11" s="49"/>
    </row>
    <row r="12" spans="1:17" x14ac:dyDescent="0.35">
      <c r="A12" s="47"/>
      <c r="B12" s="49"/>
      <c r="C12" s="49"/>
      <c r="D12" s="49"/>
      <c r="E12" s="49"/>
      <c r="F12" s="49"/>
      <c r="G12" s="49"/>
      <c r="H12" s="49"/>
      <c r="I12" s="49"/>
      <c r="J12" s="49"/>
      <c r="K12" s="50"/>
      <c r="L12" s="49"/>
      <c r="M12" s="49"/>
      <c r="N12" s="49"/>
      <c r="O12" s="50"/>
      <c r="P12" s="52"/>
      <c r="Q12" s="49"/>
    </row>
    <row r="13" spans="1:17" x14ac:dyDescent="0.35">
      <c r="A13" s="47"/>
      <c r="B13" s="49"/>
      <c r="C13" s="49"/>
      <c r="D13" s="49"/>
      <c r="E13" s="49"/>
      <c r="F13" s="49"/>
      <c r="G13" s="49"/>
      <c r="H13" s="49"/>
      <c r="I13" s="49"/>
      <c r="J13" s="49"/>
      <c r="K13" s="50"/>
      <c r="L13" s="49"/>
      <c r="M13" s="49"/>
      <c r="N13" s="49"/>
      <c r="O13" s="50"/>
      <c r="P13" s="52"/>
      <c r="Q13" s="49"/>
    </row>
    <row r="14" spans="1:17" x14ac:dyDescent="0.35">
      <c r="A14" s="47"/>
      <c r="B14" s="49"/>
      <c r="C14" s="49"/>
      <c r="D14" s="49"/>
      <c r="E14" s="49"/>
      <c r="F14" s="49"/>
      <c r="G14" s="49"/>
      <c r="H14" s="49"/>
      <c r="I14" s="49"/>
      <c r="J14" s="49"/>
      <c r="K14" s="50"/>
      <c r="L14" s="49"/>
      <c r="M14" s="49"/>
      <c r="N14" s="49"/>
      <c r="O14" s="50"/>
      <c r="P14" s="52"/>
      <c r="Q14" s="49"/>
    </row>
    <row r="15" spans="1:17" x14ac:dyDescent="0.35">
      <c r="A15" s="47"/>
      <c r="B15" s="49"/>
      <c r="C15" s="49"/>
      <c r="D15" s="49"/>
      <c r="E15" s="49"/>
      <c r="F15" s="49"/>
      <c r="G15" s="49"/>
      <c r="H15" s="49"/>
      <c r="I15" s="49"/>
      <c r="J15" s="49"/>
      <c r="K15" s="50"/>
      <c r="L15" s="49"/>
      <c r="M15" s="49"/>
      <c r="N15" s="49"/>
      <c r="O15" s="50"/>
      <c r="P15" s="52"/>
      <c r="Q15" s="49"/>
    </row>
    <row r="16" spans="1:17" x14ac:dyDescent="0.35">
      <c r="A16" s="47"/>
      <c r="B16" s="49"/>
      <c r="C16" s="49"/>
      <c r="D16" s="49"/>
      <c r="E16" s="49"/>
      <c r="F16" s="49"/>
      <c r="G16" s="49"/>
      <c r="H16" s="49"/>
      <c r="I16" s="49"/>
      <c r="J16" s="49"/>
      <c r="K16" s="50"/>
      <c r="L16" s="49"/>
      <c r="M16" s="49"/>
      <c r="N16" s="49"/>
      <c r="O16" s="50"/>
      <c r="P16" s="52"/>
      <c r="Q16" s="49"/>
    </row>
    <row r="17" spans="1:17" x14ac:dyDescent="0.35">
      <c r="A17" s="47"/>
      <c r="B17" s="49"/>
      <c r="C17" s="49"/>
      <c r="D17" s="49"/>
      <c r="E17" s="49"/>
      <c r="F17" s="49"/>
      <c r="G17" s="49"/>
      <c r="H17" s="49"/>
      <c r="I17" s="49"/>
      <c r="J17" s="49"/>
      <c r="K17" s="50"/>
      <c r="L17" s="49"/>
      <c r="M17" s="49"/>
      <c r="N17" s="49"/>
      <c r="O17" s="50"/>
      <c r="P17" s="52"/>
      <c r="Q17" s="49"/>
    </row>
    <row r="18" spans="1:17" x14ac:dyDescent="0.35">
      <c r="A18" s="47"/>
      <c r="B18" s="49"/>
      <c r="C18" s="49"/>
      <c r="D18" s="49"/>
      <c r="E18" s="49"/>
      <c r="F18" s="49"/>
      <c r="G18" s="49"/>
      <c r="H18" s="49"/>
      <c r="I18" s="49"/>
      <c r="J18" s="49"/>
      <c r="K18" s="50"/>
      <c r="L18" s="49"/>
      <c r="M18" s="49"/>
      <c r="N18" s="49"/>
      <c r="O18" s="50"/>
      <c r="P18" s="52"/>
      <c r="Q18" s="49"/>
    </row>
    <row r="19" spans="1:17" x14ac:dyDescent="0.35">
      <c r="A19" s="47"/>
      <c r="B19" s="49"/>
      <c r="C19" s="49"/>
      <c r="D19" s="49"/>
      <c r="E19" s="49"/>
      <c r="F19" s="49"/>
      <c r="G19" s="49"/>
      <c r="H19" s="49"/>
      <c r="I19" s="49"/>
      <c r="J19" s="49"/>
      <c r="K19" s="50"/>
      <c r="L19" s="49"/>
      <c r="M19" s="49"/>
      <c r="N19" s="49"/>
      <c r="O19" s="50"/>
      <c r="P19" s="52"/>
      <c r="Q19" s="49"/>
    </row>
    <row r="20" spans="1:17" x14ac:dyDescent="0.35">
      <c r="A20" s="47"/>
      <c r="B20" s="49"/>
      <c r="C20" s="49"/>
      <c r="D20" s="49"/>
      <c r="E20" s="49"/>
      <c r="F20" s="49"/>
      <c r="G20" s="49"/>
      <c r="H20" s="49"/>
      <c r="I20" s="49"/>
      <c r="J20" s="49"/>
      <c r="K20" s="50"/>
      <c r="L20" s="49"/>
      <c r="M20" s="49"/>
      <c r="N20" s="49"/>
      <c r="O20" s="50"/>
      <c r="P20" s="52"/>
      <c r="Q20" s="49"/>
    </row>
    <row r="21" spans="1:17" x14ac:dyDescent="0.35">
      <c r="A21" s="47"/>
      <c r="B21" s="49"/>
      <c r="C21" s="49"/>
      <c r="D21" s="49"/>
      <c r="E21" s="49"/>
      <c r="F21" s="49"/>
      <c r="G21" s="49"/>
      <c r="H21" s="49"/>
      <c r="I21" s="49"/>
      <c r="J21" s="49"/>
      <c r="K21" s="50"/>
      <c r="L21" s="49"/>
      <c r="M21" s="49"/>
      <c r="N21" s="49"/>
      <c r="O21" s="50"/>
      <c r="P21" s="52"/>
      <c r="Q21" s="49"/>
    </row>
    <row r="22" spans="1:17" x14ac:dyDescent="0.35">
      <c r="A22" s="47"/>
      <c r="B22" s="49"/>
      <c r="C22" s="49"/>
      <c r="D22" s="49"/>
      <c r="E22" s="49"/>
      <c r="F22" s="49"/>
      <c r="G22" s="49"/>
      <c r="H22" s="49"/>
      <c r="I22" s="49"/>
      <c r="J22" s="49"/>
      <c r="K22" s="50"/>
      <c r="L22" s="49"/>
      <c r="M22" s="49"/>
      <c r="N22" s="49"/>
      <c r="O22" s="50"/>
      <c r="P22" s="52"/>
      <c r="Q22" s="49"/>
    </row>
    <row r="23" spans="1:17" x14ac:dyDescent="0.35">
      <c r="A23" s="47"/>
      <c r="B23" s="49"/>
      <c r="C23" s="49"/>
      <c r="D23" s="49"/>
      <c r="E23" s="49"/>
      <c r="F23" s="49"/>
      <c r="G23" s="49"/>
      <c r="H23" s="49"/>
      <c r="I23" s="49"/>
      <c r="J23" s="49"/>
      <c r="K23" s="50"/>
      <c r="L23" s="49"/>
      <c r="M23" s="49"/>
      <c r="N23" s="49"/>
      <c r="O23" s="50"/>
      <c r="P23" s="52"/>
      <c r="Q23" s="49"/>
    </row>
    <row r="24" spans="1:17" x14ac:dyDescent="0.35">
      <c r="A24" s="47"/>
      <c r="B24" s="49"/>
      <c r="C24" s="49"/>
      <c r="D24" s="49"/>
      <c r="E24" s="49"/>
      <c r="F24" s="49"/>
      <c r="G24" s="49"/>
      <c r="H24" s="49"/>
      <c r="I24" s="49"/>
      <c r="J24" s="49"/>
      <c r="K24" s="50"/>
      <c r="L24" s="49"/>
      <c r="M24" s="49"/>
      <c r="N24" s="49"/>
      <c r="O24" s="50"/>
      <c r="P24" s="52"/>
      <c r="Q24" s="49"/>
    </row>
    <row r="25" spans="1:17" x14ac:dyDescent="0.35">
      <c r="A25" s="47"/>
      <c r="B25" s="49"/>
      <c r="C25" s="49"/>
      <c r="D25" s="49"/>
      <c r="E25" s="49"/>
      <c r="F25" s="49"/>
      <c r="G25" s="49"/>
      <c r="H25" s="49"/>
      <c r="I25" s="49"/>
      <c r="J25" s="49"/>
      <c r="K25" s="50"/>
      <c r="L25" s="49"/>
      <c r="M25" s="49"/>
      <c r="N25" s="49"/>
      <c r="O25" s="50"/>
      <c r="P25" s="52"/>
      <c r="Q25" s="49"/>
    </row>
    <row r="26" spans="1:17" x14ac:dyDescent="0.35">
      <c r="A26" s="47"/>
      <c r="B26" s="49"/>
      <c r="C26" s="49"/>
      <c r="D26" s="49"/>
      <c r="E26" s="49"/>
      <c r="F26" s="49"/>
      <c r="G26" s="49"/>
      <c r="H26" s="49"/>
      <c r="I26" s="49"/>
      <c r="J26" s="49"/>
      <c r="K26" s="50"/>
      <c r="L26" s="49"/>
      <c r="M26" s="49"/>
      <c r="N26" s="49"/>
      <c r="O26" s="50"/>
      <c r="P26" s="52"/>
      <c r="Q26" s="49"/>
    </row>
    <row r="27" spans="1:17" x14ac:dyDescent="0.35">
      <c r="A27" s="47"/>
      <c r="B27" s="49"/>
      <c r="C27" s="49"/>
      <c r="D27" s="49"/>
      <c r="E27" s="49"/>
      <c r="F27" s="49"/>
      <c r="G27" s="49"/>
      <c r="H27" s="49"/>
      <c r="I27" s="49"/>
      <c r="J27" s="49"/>
      <c r="K27" s="50"/>
      <c r="L27" s="49"/>
      <c r="M27" s="49"/>
      <c r="N27" s="49"/>
      <c r="O27" s="50"/>
      <c r="P27" s="52"/>
      <c r="Q27" s="49"/>
    </row>
    <row r="28" spans="1:17" x14ac:dyDescent="0.35">
      <c r="A28" s="47"/>
      <c r="B28" s="49"/>
      <c r="C28" s="49"/>
      <c r="D28" s="49"/>
      <c r="E28" s="49"/>
      <c r="F28" s="49"/>
      <c r="G28" s="49"/>
      <c r="H28" s="49"/>
      <c r="I28" s="49"/>
      <c r="J28" s="49"/>
      <c r="K28" s="50"/>
      <c r="L28" s="49"/>
      <c r="M28" s="49"/>
      <c r="N28" s="49"/>
      <c r="O28" s="50"/>
      <c r="P28" s="52"/>
      <c r="Q28" s="49"/>
    </row>
    <row r="29" spans="1:17" x14ac:dyDescent="0.35">
      <c r="A29" s="47"/>
      <c r="B29" s="49"/>
      <c r="C29" s="49"/>
      <c r="D29" s="49"/>
      <c r="E29" s="49"/>
      <c r="F29" s="49"/>
      <c r="G29" s="49"/>
      <c r="H29" s="49"/>
      <c r="I29" s="49"/>
      <c r="J29" s="49"/>
      <c r="K29" s="50"/>
      <c r="L29" s="49"/>
      <c r="M29" s="49"/>
      <c r="N29" s="49"/>
      <c r="O29" s="50"/>
      <c r="P29" s="52"/>
      <c r="Q29" s="49"/>
    </row>
    <row r="30" spans="1:17" x14ac:dyDescent="0.35">
      <c r="A30" s="47"/>
      <c r="B30" s="49"/>
      <c r="C30" s="49"/>
      <c r="D30" s="49"/>
      <c r="E30" s="49"/>
      <c r="F30" s="49"/>
      <c r="G30" s="49"/>
      <c r="H30" s="49"/>
      <c r="I30" s="49"/>
      <c r="J30" s="49"/>
      <c r="K30" s="50"/>
      <c r="L30" s="49"/>
      <c r="M30" s="49"/>
      <c r="N30" s="49"/>
      <c r="O30" s="50"/>
      <c r="P30" s="52"/>
      <c r="Q30" s="49"/>
    </row>
    <row r="31" spans="1:17" x14ac:dyDescent="0.35">
      <c r="A31" s="47"/>
      <c r="B31" s="49"/>
      <c r="C31" s="49"/>
      <c r="D31" s="49"/>
      <c r="E31" s="49"/>
      <c r="F31" s="49"/>
      <c r="G31" s="49"/>
      <c r="H31" s="49"/>
      <c r="I31" s="49"/>
      <c r="J31" s="49"/>
      <c r="K31" s="50"/>
      <c r="L31" s="49"/>
      <c r="M31" s="49"/>
      <c r="N31" s="49"/>
      <c r="O31" s="50"/>
      <c r="P31" s="52"/>
      <c r="Q31" s="49"/>
    </row>
    <row r="32" spans="1:17" x14ac:dyDescent="0.35">
      <c r="A32" s="47"/>
      <c r="B32" s="49"/>
      <c r="C32" s="49"/>
      <c r="D32" s="49"/>
      <c r="E32" s="49"/>
      <c r="F32" s="49"/>
      <c r="G32" s="49"/>
      <c r="H32" s="49"/>
      <c r="I32" s="49"/>
      <c r="J32" s="49"/>
      <c r="K32" s="50"/>
      <c r="L32" s="49"/>
      <c r="M32" s="49"/>
      <c r="N32" s="49"/>
      <c r="O32" s="50"/>
      <c r="P32" s="52"/>
      <c r="Q32" s="49"/>
    </row>
    <row r="33" spans="1:17" x14ac:dyDescent="0.35">
      <c r="A33" s="47"/>
      <c r="B33" s="49"/>
      <c r="C33" s="49"/>
      <c r="D33" s="49"/>
      <c r="E33" s="49"/>
      <c r="F33" s="49"/>
      <c r="G33" s="49"/>
      <c r="H33" s="49"/>
      <c r="I33" s="49"/>
      <c r="J33" s="49"/>
      <c r="K33" s="50"/>
      <c r="L33" s="49"/>
      <c r="M33" s="49"/>
      <c r="N33" s="49"/>
      <c r="O33" s="50"/>
      <c r="P33" s="52"/>
      <c r="Q33" s="49"/>
    </row>
    <row r="34" spans="1:17" x14ac:dyDescent="0.35">
      <c r="A34" s="47"/>
      <c r="B34" s="49"/>
      <c r="C34" s="49"/>
      <c r="D34" s="49"/>
      <c r="E34" s="49"/>
      <c r="F34" s="49"/>
      <c r="G34" s="49"/>
      <c r="H34" s="49"/>
      <c r="I34" s="49"/>
      <c r="J34" s="49"/>
      <c r="K34" s="50"/>
      <c r="L34" s="49"/>
      <c r="M34" s="49"/>
      <c r="N34" s="49"/>
      <c r="O34" s="50"/>
      <c r="P34" s="52"/>
      <c r="Q34" s="49"/>
    </row>
    <row r="35" spans="1:17" x14ac:dyDescent="0.35">
      <c r="A35" s="47"/>
      <c r="B35" s="49"/>
      <c r="C35" s="49"/>
      <c r="D35" s="49"/>
      <c r="E35" s="49"/>
      <c r="F35" s="49"/>
      <c r="G35" s="49"/>
      <c r="H35" s="49"/>
      <c r="I35" s="49"/>
      <c r="J35" s="49"/>
      <c r="K35" s="50"/>
      <c r="L35" s="49"/>
      <c r="M35" s="49"/>
      <c r="N35" s="49"/>
      <c r="O35" s="50"/>
      <c r="P35" s="52"/>
      <c r="Q35" s="49"/>
    </row>
    <row r="36" spans="1:17" x14ac:dyDescent="0.35">
      <c r="A36" s="47"/>
      <c r="B36" s="49"/>
      <c r="C36" s="49"/>
      <c r="D36" s="49"/>
      <c r="E36" s="49"/>
      <c r="F36" s="49"/>
      <c r="G36" s="49"/>
      <c r="H36" s="49"/>
      <c r="I36" s="49"/>
      <c r="J36" s="49"/>
      <c r="K36" s="50"/>
      <c r="L36" s="49"/>
      <c r="M36" s="49"/>
      <c r="N36" s="49"/>
      <c r="O36" s="50"/>
      <c r="P36" s="52"/>
      <c r="Q36" s="49"/>
    </row>
    <row r="37" spans="1:17" x14ac:dyDescent="0.35">
      <c r="A37" s="47"/>
      <c r="B37" s="49"/>
      <c r="C37" s="49"/>
      <c r="D37" s="49"/>
      <c r="E37" s="49"/>
      <c r="F37" s="49"/>
      <c r="G37" s="49"/>
      <c r="H37" s="49"/>
      <c r="I37" s="49"/>
      <c r="J37" s="49"/>
      <c r="K37" s="50"/>
      <c r="L37" s="49"/>
      <c r="M37" s="49"/>
      <c r="N37" s="49"/>
      <c r="O37" s="50"/>
      <c r="P37" s="52"/>
      <c r="Q37" s="49"/>
    </row>
    <row r="38" spans="1:17" x14ac:dyDescent="0.35">
      <c r="A38" s="47"/>
      <c r="B38" s="49"/>
      <c r="C38" s="49"/>
      <c r="D38" s="49"/>
      <c r="E38" s="49"/>
      <c r="F38" s="49"/>
      <c r="G38" s="49"/>
      <c r="H38" s="49"/>
      <c r="I38" s="49"/>
      <c r="J38" s="49"/>
      <c r="K38" s="50"/>
      <c r="L38" s="49"/>
      <c r="M38" s="49"/>
      <c r="N38" s="49"/>
      <c r="O38" s="50"/>
      <c r="P38" s="52"/>
      <c r="Q38" s="49"/>
    </row>
    <row r="39" spans="1:17" x14ac:dyDescent="0.35">
      <c r="A39" s="47"/>
      <c r="B39" s="49"/>
      <c r="C39" s="49"/>
      <c r="D39" s="49"/>
      <c r="E39" s="49"/>
      <c r="F39" s="49"/>
      <c r="G39" s="49"/>
      <c r="H39" s="49"/>
      <c r="I39" s="49"/>
      <c r="J39" s="49"/>
      <c r="K39" s="50"/>
      <c r="L39" s="49"/>
      <c r="M39" s="49"/>
      <c r="N39" s="49"/>
      <c r="O39" s="50"/>
      <c r="P39" s="52"/>
      <c r="Q39" s="49"/>
    </row>
    <row r="40" spans="1:17" x14ac:dyDescent="0.35">
      <c r="A40" s="47"/>
      <c r="B40" s="49"/>
      <c r="C40" s="49"/>
      <c r="D40" s="49"/>
      <c r="E40" s="49"/>
      <c r="F40" s="49"/>
      <c r="G40" s="49"/>
      <c r="H40" s="49"/>
      <c r="I40" s="49"/>
      <c r="J40" s="49"/>
      <c r="K40" s="50"/>
      <c r="L40" s="49"/>
      <c r="M40" s="49"/>
      <c r="N40" s="49"/>
      <c r="O40" s="50"/>
      <c r="P40" s="52"/>
      <c r="Q40" s="49"/>
    </row>
    <row r="41" spans="1:17" x14ac:dyDescent="0.35">
      <c r="A41" s="47"/>
      <c r="B41" s="49"/>
      <c r="C41" s="49"/>
      <c r="D41" s="49"/>
      <c r="E41" s="49"/>
      <c r="F41" s="49"/>
      <c r="G41" s="49"/>
      <c r="H41" s="49"/>
      <c r="I41" s="49"/>
      <c r="J41" s="49"/>
      <c r="K41" s="50"/>
      <c r="L41" s="49"/>
      <c r="M41" s="49"/>
      <c r="N41" s="49"/>
      <c r="O41" s="50"/>
      <c r="P41" s="52"/>
      <c r="Q41" s="49"/>
    </row>
    <row r="42" spans="1:17" ht="15.5" x14ac:dyDescent="0.35">
      <c r="A42" s="47"/>
      <c r="B42" s="96"/>
      <c r="C42" s="49"/>
      <c r="D42" s="49"/>
      <c r="E42" s="49"/>
      <c r="F42" s="49"/>
      <c r="G42" s="49"/>
      <c r="H42" s="49"/>
      <c r="I42" s="49"/>
      <c r="J42" s="49"/>
      <c r="K42" s="50"/>
      <c r="L42" s="49"/>
      <c r="M42" s="49"/>
      <c r="N42" s="49"/>
      <c r="O42" s="50"/>
      <c r="P42" s="52"/>
      <c r="Q42" s="49"/>
    </row>
    <row r="43" spans="1:17" ht="15.5" x14ac:dyDescent="0.35">
      <c r="A43" s="47"/>
      <c r="B43" s="96"/>
      <c r="C43" s="49"/>
      <c r="D43" s="49"/>
      <c r="E43" s="49"/>
      <c r="F43" s="49"/>
      <c r="G43" s="49"/>
      <c r="H43" s="49"/>
      <c r="I43" s="49"/>
      <c r="J43" s="49"/>
      <c r="K43" s="50"/>
      <c r="L43" s="49"/>
      <c r="M43" s="49"/>
      <c r="N43" s="49"/>
      <c r="O43" s="50"/>
      <c r="P43" s="52"/>
      <c r="Q43" s="49"/>
    </row>
    <row r="44" spans="1:17" ht="15.5" x14ac:dyDescent="0.35">
      <c r="A44" s="47"/>
      <c r="B44" s="96"/>
      <c r="C44" s="49"/>
      <c r="D44" s="49"/>
      <c r="E44" s="49"/>
      <c r="F44" s="49"/>
      <c r="G44" s="49"/>
      <c r="H44" s="49"/>
      <c r="I44" s="49"/>
      <c r="J44" s="49"/>
      <c r="K44" s="50"/>
      <c r="L44" s="49"/>
      <c r="M44" s="49"/>
      <c r="N44" s="49"/>
      <c r="O44" s="50"/>
      <c r="P44" s="52"/>
      <c r="Q44" s="49"/>
    </row>
    <row r="45" spans="1:17" ht="15.5" x14ac:dyDescent="0.35">
      <c r="A45" s="47"/>
      <c r="B45" s="96"/>
      <c r="C45" s="49"/>
      <c r="D45" s="49"/>
      <c r="E45" s="49"/>
      <c r="F45" s="49"/>
      <c r="G45" s="49"/>
      <c r="H45" s="49"/>
      <c r="I45" s="49"/>
      <c r="J45" s="49"/>
      <c r="K45" s="50"/>
      <c r="L45" s="49"/>
      <c r="M45" s="49"/>
      <c r="N45" s="49"/>
      <c r="O45" s="50"/>
      <c r="P45" s="52"/>
      <c r="Q45" s="49"/>
    </row>
    <row r="46" spans="1:17" ht="15.5" x14ac:dyDescent="0.35">
      <c r="A46" s="47"/>
      <c r="B46" s="96"/>
      <c r="C46" s="49"/>
      <c r="D46" s="49"/>
      <c r="E46" s="49"/>
      <c r="F46" s="49"/>
      <c r="G46" s="49"/>
      <c r="H46" s="49"/>
      <c r="I46" s="49"/>
      <c r="J46" s="49"/>
      <c r="K46" s="50"/>
      <c r="L46" s="49"/>
      <c r="M46" s="49"/>
      <c r="N46" s="49"/>
      <c r="O46" s="50"/>
      <c r="P46" s="52"/>
      <c r="Q46" s="49"/>
    </row>
    <row r="47" spans="1:17" ht="15.5" x14ac:dyDescent="0.35">
      <c r="A47" s="47"/>
      <c r="B47" s="96"/>
      <c r="C47" s="49"/>
      <c r="D47" s="49"/>
      <c r="E47" s="49"/>
      <c r="F47" s="49"/>
      <c r="G47" s="49"/>
      <c r="H47" s="49"/>
      <c r="I47" s="49"/>
      <c r="J47" s="49"/>
      <c r="K47" s="50"/>
      <c r="L47" s="49"/>
      <c r="M47" s="49"/>
      <c r="N47" s="49"/>
      <c r="O47" s="50"/>
      <c r="P47" s="52"/>
      <c r="Q47" s="49"/>
    </row>
    <row r="48" spans="1:17" ht="15.5" x14ac:dyDescent="0.35">
      <c r="A48" s="47"/>
      <c r="B48" s="96"/>
      <c r="C48" s="49"/>
      <c r="D48" s="49"/>
      <c r="E48" s="49"/>
      <c r="F48" s="49"/>
      <c r="G48" s="49"/>
      <c r="H48" s="49"/>
      <c r="I48" s="49"/>
      <c r="J48" s="49"/>
      <c r="K48" s="50"/>
      <c r="L48" s="49"/>
      <c r="M48" s="49"/>
      <c r="N48" s="49"/>
      <c r="O48" s="50"/>
      <c r="P48" s="52"/>
      <c r="Q48" s="49"/>
    </row>
    <row r="49" spans="1:17" ht="15.5" x14ac:dyDescent="0.35">
      <c r="A49" s="47"/>
      <c r="B49" s="96"/>
      <c r="C49" s="49"/>
      <c r="D49" s="49"/>
      <c r="E49" s="49"/>
      <c r="F49" s="49"/>
      <c r="G49" s="49"/>
      <c r="H49" s="49"/>
      <c r="I49" s="49"/>
      <c r="J49" s="49"/>
      <c r="K49" s="50"/>
      <c r="L49" s="49"/>
      <c r="M49" s="49"/>
      <c r="N49" s="49"/>
      <c r="O49" s="50"/>
      <c r="P49" s="52"/>
      <c r="Q49" s="49"/>
    </row>
    <row r="50" spans="1:17" ht="15.5" x14ac:dyDescent="0.35">
      <c r="A50" s="47"/>
      <c r="B50" s="96"/>
      <c r="C50" s="49"/>
      <c r="D50" s="49"/>
      <c r="E50" s="49"/>
      <c r="F50" s="49"/>
      <c r="G50" s="49"/>
      <c r="H50" s="49"/>
      <c r="I50" s="49"/>
      <c r="J50" s="49"/>
      <c r="K50" s="50"/>
      <c r="L50" s="49"/>
      <c r="M50" s="49"/>
      <c r="N50" s="49"/>
      <c r="O50" s="50"/>
      <c r="P50" s="52"/>
      <c r="Q50" s="49"/>
    </row>
    <row r="51" spans="1:17" ht="15.5" x14ac:dyDescent="0.35">
      <c r="A51" s="47"/>
      <c r="B51" s="96"/>
      <c r="C51" s="49"/>
      <c r="D51" s="49"/>
      <c r="E51" s="49"/>
      <c r="F51" s="49"/>
      <c r="G51" s="49"/>
      <c r="H51" s="49"/>
      <c r="I51" s="49"/>
      <c r="J51" s="49"/>
      <c r="K51" s="50"/>
      <c r="L51" s="49"/>
      <c r="M51" s="49"/>
      <c r="N51" s="49"/>
      <c r="O51" s="50"/>
      <c r="P51" s="52"/>
      <c r="Q51" s="49"/>
    </row>
    <row r="52" spans="1:17" ht="15.5" x14ac:dyDescent="0.35">
      <c r="A52" s="47"/>
      <c r="B52" s="96"/>
      <c r="C52" s="49"/>
      <c r="D52" s="49"/>
      <c r="E52" s="49"/>
      <c r="F52" s="49"/>
      <c r="G52" s="49"/>
      <c r="H52" s="49"/>
      <c r="I52" s="49"/>
      <c r="J52" s="49"/>
      <c r="K52" s="50"/>
      <c r="L52" s="49"/>
      <c r="M52" s="49"/>
      <c r="N52" s="49"/>
      <c r="O52" s="50"/>
      <c r="P52" s="52"/>
      <c r="Q52" s="49"/>
    </row>
    <row r="53" spans="1:17" ht="15.5" x14ac:dyDescent="0.35">
      <c r="A53" s="47"/>
      <c r="B53" s="96"/>
      <c r="C53" s="49"/>
      <c r="D53" s="49"/>
      <c r="E53" s="49"/>
      <c r="F53" s="49"/>
      <c r="G53" s="49"/>
      <c r="H53" s="49"/>
      <c r="I53" s="49"/>
      <c r="J53" s="49"/>
      <c r="K53" s="50"/>
      <c r="L53" s="49"/>
      <c r="M53" s="49"/>
      <c r="N53" s="49"/>
      <c r="O53" s="50"/>
      <c r="P53" s="52"/>
      <c r="Q53" s="49"/>
    </row>
    <row r="54" spans="1:17" ht="15.5" x14ac:dyDescent="0.35">
      <c r="A54" s="47"/>
      <c r="B54" s="96"/>
      <c r="C54" s="49"/>
      <c r="D54" s="49"/>
      <c r="E54" s="49"/>
      <c r="F54" s="49"/>
      <c r="G54" s="49"/>
      <c r="H54" s="49"/>
      <c r="I54" s="49"/>
      <c r="J54" s="49"/>
      <c r="K54" s="50"/>
      <c r="L54" s="49"/>
      <c r="M54" s="49"/>
      <c r="N54" s="49"/>
      <c r="O54" s="50"/>
      <c r="P54" s="52"/>
      <c r="Q54" s="49"/>
    </row>
    <row r="55" spans="1:17" ht="15.5" x14ac:dyDescent="0.35">
      <c r="A55" s="45"/>
      <c r="B55" s="45"/>
    </row>
    <row r="56" spans="1:17" ht="15.5" x14ac:dyDescent="0.35">
      <c r="A56" s="45"/>
      <c r="B56" s="45"/>
    </row>
    <row r="57" spans="1:17" ht="15.5" x14ac:dyDescent="0.35">
      <c r="A57" s="45"/>
      <c r="B57" s="45"/>
    </row>
    <row r="58" spans="1:17" ht="15.5" x14ac:dyDescent="0.35">
      <c r="A58" s="45"/>
      <c r="B58" s="45"/>
    </row>
    <row r="59" spans="1:17" ht="15.5" x14ac:dyDescent="0.35">
      <c r="A59" s="45"/>
      <c r="B59" s="45"/>
    </row>
    <row r="60" spans="1:17" ht="15.5" x14ac:dyDescent="0.35">
      <c r="A60" s="45"/>
      <c r="B60" s="45"/>
    </row>
    <row r="61" spans="1:17" ht="15.5" x14ac:dyDescent="0.35">
      <c r="A61" s="45"/>
      <c r="B61" s="45"/>
    </row>
    <row r="62" spans="1:17" ht="15.5" x14ac:dyDescent="0.35">
      <c r="A62" s="45"/>
      <c r="B62" s="45"/>
    </row>
    <row r="63" spans="1:17" ht="15.5" x14ac:dyDescent="0.35">
      <c r="A63" s="45"/>
      <c r="B63" s="45"/>
    </row>
    <row r="64" spans="1:17" ht="15.5" x14ac:dyDescent="0.35">
      <c r="A64" s="45"/>
      <c r="B64" s="45"/>
    </row>
  </sheetData>
  <conditionalFormatting sqref="P3:P54">
    <cfRule type="containsText" dxfId="3" priority="1" operator="containsText" text="Rejected">
      <formula>NOT(ISERROR(SEARCH("Rejected",P3)))</formula>
    </cfRule>
    <cfRule type="containsText" dxfId="2" priority="2" operator="containsText" text="Pending">
      <formula>NOT(ISERROR(SEARCH("Pending",P3)))</formula>
    </cfRule>
    <cfRule type="containsText" dxfId="1" priority="3" operator="containsText" text="Approved">
      <formula>NOT(ISERROR(SEARCH("Approved",P3)))</formula>
    </cfRule>
    <cfRule type="containsText" dxfId="0" priority="4" operator="containsText" text="Pending">
      <formula>NOT(ISERROR(SEARCH("Pending",P3)))</formula>
    </cfRule>
  </conditionalFormatting>
  <dataValidations disablePrompts="1" count="3">
    <dataValidation type="list" allowBlank="1" showInputMessage="1" showErrorMessage="1" sqref="P4:P54" xr:uid="{25CB86BE-C8E4-4924-8C29-D7AF8374076F}">
      <formula1>"Approved,Rejected,Pending"</formula1>
    </dataValidation>
    <dataValidation type="list" allowBlank="1" showInputMessage="1" showErrorMessage="1" sqref="I4:I54 M4:M54" xr:uid="{D8311F7F-9EE7-41F6-8DF1-F2C21E580531}">
      <formula1>"Complete, Incomplete"</formula1>
    </dataValidation>
    <dataValidation type="list" allowBlank="1" showInputMessage="1" showErrorMessage="1" sqref="K4:K54 O4:O54" xr:uid="{912A7FC4-0457-4043-913E-786ABEE6EF9C}">
      <formula1>"Yes, No, NA"</formula1>
    </dataValidation>
  </dataValidations>
  <pageMargins left="0.7" right="0.7" top="1.25" bottom="0.97916666666666663" header="0.3" footer="0.3"/>
  <pageSetup paperSize="9" orientation="landscape" r:id="rId1"/>
  <headerFooter>
    <oddHeader xml:space="preserve">&amp;L&amp;10&amp;G
Central Lab&amp;R&amp;10Page &amp;P of &amp;N
</oddHeader>
    <oddFooter xml:space="preserve">&amp;L&amp;9Template No.: CS_TP_MS004 Revision 8
Effective Date: 15Oct2022
&amp;C&amp;8&amp;G&amp;R&amp;9Reference: CS_WI_MS001,     
CS_WI_MS003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B62"/>
  <sheetViews>
    <sheetView tabSelected="1" view="pageLayout" zoomScale="26" zoomScaleNormal="100" zoomScalePageLayoutView="26" workbookViewId="0">
      <selection activeCell="B4" sqref="B4"/>
    </sheetView>
  </sheetViews>
  <sheetFormatPr defaultRowHeight="14.5" x14ac:dyDescent="0.35"/>
  <cols>
    <col min="1" max="1" width="18.54296875" customWidth="1"/>
    <col min="2" max="2" width="35" customWidth="1"/>
  </cols>
  <sheetData>
    <row r="2" spans="1:2" ht="15.5" x14ac:dyDescent="0.35">
      <c r="A2" s="11" t="s">
        <v>79</v>
      </c>
      <c r="B2" s="11" t="s">
        <v>80</v>
      </c>
    </row>
    <row r="3" spans="1:2" ht="15.5" x14ac:dyDescent="0.35">
      <c r="A3" s="12" t="s">
        <v>81</v>
      </c>
      <c r="B3" s="12" t="s">
        <v>82</v>
      </c>
    </row>
    <row r="4" spans="1:2" ht="15.5" x14ac:dyDescent="0.35">
      <c r="A4" s="12" t="s">
        <v>83</v>
      </c>
      <c r="B4" s="12" t="s">
        <v>165</v>
      </c>
    </row>
    <row r="5" spans="1:2" ht="15.5" x14ac:dyDescent="0.35">
      <c r="A5" s="12" t="s">
        <v>84</v>
      </c>
      <c r="B5" s="12" t="s">
        <v>166</v>
      </c>
    </row>
    <row r="6" spans="1:2" ht="15.5" x14ac:dyDescent="0.35">
      <c r="A6" s="12" t="s">
        <v>85</v>
      </c>
      <c r="B6" s="12" t="s">
        <v>167</v>
      </c>
    </row>
    <row r="7" spans="1:2" ht="15.5" x14ac:dyDescent="0.35">
      <c r="A7" s="12" t="s">
        <v>86</v>
      </c>
      <c r="B7" s="12" t="s">
        <v>168</v>
      </c>
    </row>
    <row r="8" spans="1:2" ht="15.5" x14ac:dyDescent="0.35">
      <c r="A8" s="12" t="s">
        <v>87</v>
      </c>
      <c r="B8" s="12" t="s">
        <v>169</v>
      </c>
    </row>
    <row r="9" spans="1:2" ht="15.5" x14ac:dyDescent="0.35">
      <c r="A9" s="12" t="s">
        <v>88</v>
      </c>
      <c r="B9" s="12" t="s">
        <v>89</v>
      </c>
    </row>
    <row r="10" spans="1:2" ht="15.5" x14ac:dyDescent="0.35">
      <c r="A10" s="12" t="s">
        <v>90</v>
      </c>
      <c r="B10" s="12" t="s">
        <v>91</v>
      </c>
    </row>
    <row r="11" spans="1:2" ht="15.5" x14ac:dyDescent="0.35">
      <c r="A11" s="12" t="s">
        <v>92</v>
      </c>
      <c r="B11" s="12" t="s">
        <v>93</v>
      </c>
    </row>
    <row r="12" spans="1:2" ht="15.5" x14ac:dyDescent="0.35">
      <c r="A12" s="12" t="s">
        <v>94</v>
      </c>
      <c r="B12" s="12" t="s">
        <v>170</v>
      </c>
    </row>
    <row r="13" spans="1:2" ht="15.5" x14ac:dyDescent="0.35">
      <c r="A13" s="12" t="s">
        <v>95</v>
      </c>
      <c r="B13" s="12" t="s">
        <v>215</v>
      </c>
    </row>
    <row r="14" spans="1:2" ht="15.5" x14ac:dyDescent="0.35">
      <c r="A14" s="12" t="s">
        <v>96</v>
      </c>
      <c r="B14" s="12" t="s">
        <v>171</v>
      </c>
    </row>
    <row r="15" spans="1:2" ht="15.5" x14ac:dyDescent="0.35">
      <c r="A15" s="12" t="s">
        <v>97</v>
      </c>
      <c r="B15" s="12" t="s">
        <v>172</v>
      </c>
    </row>
    <row r="16" spans="1:2" ht="15.5" x14ac:dyDescent="0.35">
      <c r="A16" s="12" t="s">
        <v>98</v>
      </c>
      <c r="B16" s="12" t="s">
        <v>99</v>
      </c>
    </row>
    <row r="17" spans="1:2" ht="15.5" x14ac:dyDescent="0.35">
      <c r="A17" s="12" t="s">
        <v>100</v>
      </c>
      <c r="B17" s="12" t="s">
        <v>101</v>
      </c>
    </row>
    <row r="18" spans="1:2" ht="15.5" x14ac:dyDescent="0.35">
      <c r="A18" s="12" t="s">
        <v>102</v>
      </c>
      <c r="B18" s="12" t="s">
        <v>103</v>
      </c>
    </row>
    <row r="19" spans="1:2" ht="15.5" x14ac:dyDescent="0.35">
      <c r="A19" s="12" t="s">
        <v>104</v>
      </c>
      <c r="B19" s="12" t="s">
        <v>105</v>
      </c>
    </row>
    <row r="20" spans="1:2" ht="15.5" x14ac:dyDescent="0.35">
      <c r="A20" s="12" t="s">
        <v>106</v>
      </c>
      <c r="B20" s="12" t="s">
        <v>173</v>
      </c>
    </row>
    <row r="21" spans="1:2" ht="15.5" x14ac:dyDescent="0.35">
      <c r="A21" s="12" t="s">
        <v>107</v>
      </c>
      <c r="B21" s="12" t="s">
        <v>174</v>
      </c>
    </row>
    <row r="22" spans="1:2" ht="15.5" x14ac:dyDescent="0.35">
      <c r="A22" s="12" t="s">
        <v>108</v>
      </c>
      <c r="B22" s="12" t="s">
        <v>109</v>
      </c>
    </row>
    <row r="23" spans="1:2" ht="15.5" x14ac:dyDescent="0.35">
      <c r="A23" s="12" t="s">
        <v>110</v>
      </c>
      <c r="B23" s="12" t="s">
        <v>175</v>
      </c>
    </row>
    <row r="24" spans="1:2" ht="15.5" x14ac:dyDescent="0.35">
      <c r="A24" s="12" t="s">
        <v>111</v>
      </c>
      <c r="B24" s="12" t="s">
        <v>112</v>
      </c>
    </row>
    <row r="25" spans="1:2" ht="15.5" x14ac:dyDescent="0.35">
      <c r="A25" s="12" t="s">
        <v>113</v>
      </c>
      <c r="B25" s="12" t="s">
        <v>114</v>
      </c>
    </row>
    <row r="26" spans="1:2" ht="15.5" x14ac:dyDescent="0.35">
      <c r="A26" s="12" t="s">
        <v>115</v>
      </c>
      <c r="B26" s="12" t="s">
        <v>176</v>
      </c>
    </row>
    <row r="27" spans="1:2" ht="15.5" x14ac:dyDescent="0.35">
      <c r="A27" s="12" t="s">
        <v>116</v>
      </c>
      <c r="B27" s="12" t="s">
        <v>177</v>
      </c>
    </row>
    <row r="28" spans="1:2" ht="15.5" x14ac:dyDescent="0.35">
      <c r="A28" s="12" t="s">
        <v>117</v>
      </c>
      <c r="B28" s="12" t="s">
        <v>178</v>
      </c>
    </row>
    <row r="29" spans="1:2" ht="15.5" x14ac:dyDescent="0.35">
      <c r="A29" s="12" t="s">
        <v>118</v>
      </c>
      <c r="B29" s="12" t="s">
        <v>179</v>
      </c>
    </row>
    <row r="30" spans="1:2" ht="15.5" x14ac:dyDescent="0.35">
      <c r="A30" s="12" t="s">
        <v>119</v>
      </c>
      <c r="B30" s="12" t="s">
        <v>180</v>
      </c>
    </row>
    <row r="31" spans="1:2" ht="15.5" x14ac:dyDescent="0.35">
      <c r="A31" s="12" t="s">
        <v>120</v>
      </c>
      <c r="B31" s="12" t="s">
        <v>121</v>
      </c>
    </row>
    <row r="32" spans="1:2" ht="15.5" x14ac:dyDescent="0.35">
      <c r="A32" s="12" t="s">
        <v>122</v>
      </c>
      <c r="B32" s="12" t="s">
        <v>209</v>
      </c>
    </row>
    <row r="33" spans="1:2" ht="15.5" x14ac:dyDescent="0.35">
      <c r="A33" s="12" t="s">
        <v>123</v>
      </c>
      <c r="B33" s="12" t="s">
        <v>181</v>
      </c>
    </row>
    <row r="34" spans="1:2" ht="15.5" x14ac:dyDescent="0.35">
      <c r="A34" s="12" t="s">
        <v>124</v>
      </c>
      <c r="B34" s="12" t="s">
        <v>125</v>
      </c>
    </row>
    <row r="35" spans="1:2" ht="15.5" x14ac:dyDescent="0.35">
      <c r="A35" s="12" t="s">
        <v>126</v>
      </c>
      <c r="B35" s="12" t="s">
        <v>182</v>
      </c>
    </row>
    <row r="36" spans="1:2" ht="15.5" x14ac:dyDescent="0.35">
      <c r="A36" s="12" t="s">
        <v>127</v>
      </c>
      <c r="B36" s="12" t="s">
        <v>183</v>
      </c>
    </row>
    <row r="37" spans="1:2" ht="15.5" x14ac:dyDescent="0.35">
      <c r="A37" s="12" t="s">
        <v>128</v>
      </c>
      <c r="B37" s="12" t="s">
        <v>184</v>
      </c>
    </row>
    <row r="38" spans="1:2" ht="15.5" x14ac:dyDescent="0.35">
      <c r="A38" s="12" t="s">
        <v>129</v>
      </c>
      <c r="B38" s="12" t="s">
        <v>185</v>
      </c>
    </row>
    <row r="39" spans="1:2" ht="15.5" x14ac:dyDescent="0.35">
      <c r="A39" s="12" t="s">
        <v>130</v>
      </c>
      <c r="B39" s="12" t="s">
        <v>131</v>
      </c>
    </row>
    <row r="40" spans="1:2" ht="15.5" x14ac:dyDescent="0.35">
      <c r="A40" s="12" t="s">
        <v>132</v>
      </c>
      <c r="B40" s="12" t="s">
        <v>133</v>
      </c>
    </row>
    <row r="41" spans="1:2" ht="15.5" x14ac:dyDescent="0.35">
      <c r="A41" s="12" t="s">
        <v>134</v>
      </c>
      <c r="B41" s="12" t="s">
        <v>186</v>
      </c>
    </row>
    <row r="42" spans="1:2" ht="15.5" x14ac:dyDescent="0.35">
      <c r="A42" s="12" t="s">
        <v>210</v>
      </c>
      <c r="B42" s="12" t="s">
        <v>210</v>
      </c>
    </row>
    <row r="43" spans="1:2" ht="15.5" x14ac:dyDescent="0.35">
      <c r="A43" s="12" t="s">
        <v>135</v>
      </c>
      <c r="B43" s="12" t="s">
        <v>136</v>
      </c>
    </row>
    <row r="44" spans="1:2" ht="15.5" x14ac:dyDescent="0.35">
      <c r="A44" s="12" t="s">
        <v>211</v>
      </c>
      <c r="B44" s="12" t="s">
        <v>212</v>
      </c>
    </row>
    <row r="45" spans="1:2" ht="15.5" x14ac:dyDescent="0.35">
      <c r="A45" s="12" t="s">
        <v>213</v>
      </c>
      <c r="B45" s="12" t="s">
        <v>214</v>
      </c>
    </row>
    <row r="46" spans="1:2" ht="15.5" x14ac:dyDescent="0.35">
      <c r="A46" s="12" t="s">
        <v>137</v>
      </c>
      <c r="B46" s="12" t="s">
        <v>187</v>
      </c>
    </row>
    <row r="47" spans="1:2" ht="15.5" x14ac:dyDescent="0.35">
      <c r="A47" s="12" t="s">
        <v>138</v>
      </c>
      <c r="B47" s="12" t="s">
        <v>139</v>
      </c>
    </row>
    <row r="48" spans="1:2" ht="15.5" x14ac:dyDescent="0.35">
      <c r="A48" s="12" t="s">
        <v>140</v>
      </c>
      <c r="B48" s="12" t="s">
        <v>141</v>
      </c>
    </row>
    <row r="49" spans="1:2" ht="15.5" x14ac:dyDescent="0.35">
      <c r="A49" s="12" t="s">
        <v>142</v>
      </c>
      <c r="B49" s="21" t="s">
        <v>188</v>
      </c>
    </row>
    <row r="50" spans="1:2" ht="15.5" x14ac:dyDescent="0.35">
      <c r="A50" s="12" t="s">
        <v>143</v>
      </c>
      <c r="B50" s="12" t="s">
        <v>189</v>
      </c>
    </row>
    <row r="51" spans="1:2" ht="15.5" x14ac:dyDescent="0.35">
      <c r="A51" s="12" t="s">
        <v>144</v>
      </c>
      <c r="B51" s="12" t="s">
        <v>190</v>
      </c>
    </row>
    <row r="52" spans="1:2" ht="15.5" x14ac:dyDescent="0.35">
      <c r="A52" s="12" t="s">
        <v>145</v>
      </c>
      <c r="B52" s="12" t="s">
        <v>191</v>
      </c>
    </row>
    <row r="53" spans="1:2" ht="15.5" x14ac:dyDescent="0.35">
      <c r="A53" s="12" t="s">
        <v>146</v>
      </c>
      <c r="B53" s="12" t="s">
        <v>147</v>
      </c>
    </row>
    <row r="54" spans="1:2" ht="15.5" x14ac:dyDescent="0.35">
      <c r="A54" s="12" t="s">
        <v>148</v>
      </c>
      <c r="B54" s="12" t="s">
        <v>149</v>
      </c>
    </row>
    <row r="55" spans="1:2" ht="15.5" x14ac:dyDescent="0.35">
      <c r="A55" s="12" t="s">
        <v>150</v>
      </c>
      <c r="B55" s="12" t="s">
        <v>151</v>
      </c>
    </row>
    <row r="56" spans="1:2" ht="15.5" x14ac:dyDescent="0.35">
      <c r="A56" s="12" t="s">
        <v>152</v>
      </c>
      <c r="B56" s="12" t="s">
        <v>192</v>
      </c>
    </row>
    <row r="57" spans="1:2" ht="15.5" x14ac:dyDescent="0.35">
      <c r="A57" s="12" t="s">
        <v>153</v>
      </c>
      <c r="B57" s="12" t="s">
        <v>193</v>
      </c>
    </row>
    <row r="58" spans="1:2" ht="15.5" x14ac:dyDescent="0.35">
      <c r="A58" s="12" t="s">
        <v>154</v>
      </c>
      <c r="B58" s="12" t="s">
        <v>194</v>
      </c>
    </row>
    <row r="59" spans="1:2" ht="15.5" x14ac:dyDescent="0.35">
      <c r="A59" s="12" t="s">
        <v>155</v>
      </c>
      <c r="B59" s="12" t="s">
        <v>156</v>
      </c>
    </row>
    <row r="60" spans="1:2" ht="15.5" x14ac:dyDescent="0.35">
      <c r="A60" s="12" t="s">
        <v>157</v>
      </c>
      <c r="B60" s="12" t="s">
        <v>195</v>
      </c>
    </row>
    <row r="61" spans="1:2" ht="15.5" x14ac:dyDescent="0.35">
      <c r="A61" s="12" t="s">
        <v>158</v>
      </c>
      <c r="B61" s="12" t="s">
        <v>196</v>
      </c>
    </row>
    <row r="62" spans="1:2" ht="15.5" x14ac:dyDescent="0.35">
      <c r="A62" s="12" t="s">
        <v>159</v>
      </c>
      <c r="B62" s="21" t="s">
        <v>197</v>
      </c>
    </row>
  </sheetData>
  <pageMargins left="0.7" right="0.7" top="1.3020833333333333" bottom="0.97916666666666663" header="0.3" footer="0.3"/>
  <pageSetup paperSize="9" orientation="portrait" r:id="rId1"/>
  <headerFooter>
    <oddHeader xml:space="preserve">&amp;L&amp;10&amp;G
Central Lab&amp;R&amp;10Page &amp;P of &amp;N
</oddHeader>
    <oddFooter xml:space="preserve">&amp;L&amp;9Template No.: CS_TP_MS004 Revision 8
Effective Date: 15Oct2022
&amp;C&amp;8&amp;G&amp;R&amp;9Reference: CS_WI_MS001,     
CS_WI_MS003
</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 </vt:lpstr>
      <vt:lpstr>Summary</vt:lpstr>
      <vt:lpstr>Lab &amp; ECG Contact Report</vt:lpstr>
      <vt:lpstr>Eligibility Review Tracker</vt:lpstr>
      <vt:lpstr>Acronym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Mishra</dc:creator>
  <cp:lastModifiedBy>Udeshi, Rashmi Harshad EX1</cp:lastModifiedBy>
  <cp:lastPrinted>2022-09-29T11:05:53Z</cp:lastPrinted>
  <dcterms:created xsi:type="dcterms:W3CDTF">2017-04-13T04:44:26Z</dcterms:created>
  <dcterms:modified xsi:type="dcterms:W3CDTF">2022-09-29T11:06:03Z</dcterms:modified>
</cp:coreProperties>
</file>